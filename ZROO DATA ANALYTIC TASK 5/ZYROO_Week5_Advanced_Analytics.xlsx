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Params" sheetId="2" state="visible" r:id="rId4"/>
    <sheet name="Date Table" sheetId="3" state="visible" r:id="rId5"/>
    <sheet name="KPI Summary" sheetId="4" state="visible" r:id="rId6"/>
    <sheet name="Weekday Analysis" sheetId="5" state="visible" r:id="rId7"/>
    <sheet name="Weekly Trend" sheetId="6" state="visible" r:id="rId8"/>
    <sheet name="Location Analysis" sheetId="7" state="visible" r:id="rId9"/>
    <sheet name="Route Analysis" sheetId="8" state="visible" r:id="rId10"/>
    <sheet name="Payment Method" sheetId="9" state="visible" r:id="rId11"/>
    <sheet name="Fare Segment Analysis" sheetId="10" state="visible" r:id="rId12"/>
    <sheet name="Scenario Analysis" sheetId="11" state="visible" r:id="rId13"/>
    <sheet name="DAX Measur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<sst xmlns="http://schemas.openxmlformats.org/spreadsheetml/2006/main" count="791" uniqueCount="272">
  <si>
    <t xml:space="preserve">Ride ID</t>
  </si>
  <si>
    <t xml:space="preserve">Date</t>
  </si>
  <si>
    <t xml:space="preserve">Pickup Location</t>
  </si>
  <si>
    <t xml:space="preserve">Drop-off Location</t>
  </si>
  <si>
    <t xml:space="preserve">Fare</t>
  </si>
  <si>
    <t xml:space="preserve">Payment Method</t>
  </si>
  <si>
    <t xml:space="preserve">Ride Status</t>
  </si>
  <si>
    <t xml:space="preserve">Rating</t>
  </si>
  <si>
    <t xml:space="preserve">Weekday</t>
  </si>
  <si>
    <t xml:space="preserve">Week No.</t>
  </si>
  <si>
    <t xml:space="preserve">Route</t>
  </si>
  <si>
    <t xml:space="preserve">Fare Tier</t>
  </si>
  <si>
    <t xml:space="preserve">R001</t>
  </si>
  <si>
    <t xml:space="preserve">Gulberg</t>
  </si>
  <si>
    <t xml:space="preserve">DHA</t>
  </si>
  <si>
    <t xml:space="preserve">Cash</t>
  </si>
  <si>
    <t xml:space="preserve">Completed</t>
  </si>
  <si>
    <t xml:space="preserve">R002</t>
  </si>
  <si>
    <t xml:space="preserve">Askari</t>
  </si>
  <si>
    <t xml:space="preserve">R003</t>
  </si>
  <si>
    <t xml:space="preserve">Lahore</t>
  </si>
  <si>
    <t xml:space="preserve">Cantt</t>
  </si>
  <si>
    <t xml:space="preserve">R004</t>
  </si>
  <si>
    <t xml:space="preserve">Model Town</t>
  </si>
  <si>
    <t xml:space="preserve">Card</t>
  </si>
  <si>
    <t xml:space="preserve">R005</t>
  </si>
  <si>
    <t xml:space="preserve">Bahria Town</t>
  </si>
  <si>
    <t xml:space="preserve">R006</t>
  </si>
  <si>
    <t xml:space="preserve">Johar Town</t>
  </si>
  <si>
    <t xml:space="preserve">Wallet</t>
  </si>
  <si>
    <t xml:space="preserve">R007</t>
  </si>
  <si>
    <t xml:space="preserve">Faisal Town</t>
  </si>
  <si>
    <t xml:space="preserve">R008</t>
  </si>
  <si>
    <t xml:space="preserve">R009</t>
  </si>
  <si>
    <t xml:space="preserve">R010</t>
  </si>
  <si>
    <t xml:space="preserve">R011</t>
  </si>
  <si>
    <t xml:space="preserve">Cancelled</t>
  </si>
  <si>
    <t xml:space="preserve">R012</t>
  </si>
  <si>
    <t xml:space="preserve">R013</t>
  </si>
  <si>
    <t xml:space="preserve">R014</t>
  </si>
  <si>
    <t xml:space="preserve">Iqbal Town</t>
  </si>
  <si>
    <t xml:space="preserve">R015</t>
  </si>
  <si>
    <t xml:space="preserve">R016</t>
  </si>
  <si>
    <t xml:space="preserve">R017</t>
  </si>
  <si>
    <t xml:space="preserve">Wapda Town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</si>
  <si>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</si>
  <si>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</si>
  <si>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</si>
  <si>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</si>
  <si>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</si>
  <si>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</si>
  <si>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</si>
  <si>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Airport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</si>
  <si>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</si>
  <si>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</si>
  <si>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</si>
  <si>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</si>
  <si>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</si>
  <si>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</si>
  <si>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</si>
  <si>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</si>
  <si>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</si>
  <si>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</si>
  <si>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</si>
  <si>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</si>
  <si>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</si>
  <si>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</si>
  <si>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Township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</si>
  <si>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</si>
  <si>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</si>
  <si>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</si>
  <si>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</si>
  <si>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</si>
  <si>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</si>
  <si>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</si>
  <si>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</si>
  <si>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</si>
  <si>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</si>
  <si>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</si>
  <si>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</si>
  <si>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</si>
  <si>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</si>
  <si>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</si>
  <si>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</si>
  <si>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</si>
  <si>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</si>
  <si>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</si>
  <si>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</si>
  <si>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</si>
  <si>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</si>
  <si>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R061</t>
  </si>
  <si>
    <t xml:space="preserve">R062</t>
  </si>
  <si>
    <t xml:space="preserve">R063</t>
  </si>
  <si>
    <t xml:space="preserve">R064</t>
  </si>
  <si>
    <t xml:space="preserve">R065</t>
  </si>
  <si>
    <t xml:space="preserve">R066</t>
  </si>
  <si>
    <t xml:space="preserve">R067</t>
  </si>
  <si>
    <t xml:space="preserve">R068</t>
  </si>
  <si>
    <t xml:space="preserve">R069</t>
  </si>
  <si>
    <t xml:space="preserve">R070</t>
  </si>
  <si>
    <t xml:space="preserve">R071</t>
  </si>
  <si>
    <t xml:space="preserve">R072</t>
  </si>
  <si>
    <t xml:space="preserve">R073</t>
  </si>
  <si>
    <t xml:space="preserve">R074</t>
  </si>
  <si>
    <t xml:space="preserve">R075</t>
  </si>
  <si>
    <t xml:space="preserve">R076</t>
  </si>
  <si>
    <t xml:space="preserve">R077</t>
  </si>
  <si>
    <t xml:space="preserve">R078</t>
  </si>
  <si>
    <t xml:space="preserve">R079</t>
  </si>
  <si>
    <t xml:space="preserve">R080</t>
  </si>
  <si>
    <t xml:space="preserve">R081</t>
  </si>
  <si>
    <t xml:space="preserve">R082</t>
  </si>
  <si>
    <t xml:space="preserve">R083</t>
  </si>
  <si>
    <t xml:space="preserve">R084</t>
  </si>
  <si>
    <t xml:space="preserve">R085</t>
  </si>
  <si>
    <t xml:space="preserve">R086</t>
  </si>
  <si>
    <t xml:space="preserve">R087</t>
  </si>
  <si>
    <t xml:space="preserve">R088</t>
  </si>
  <si>
    <t xml:space="preserve">R089</t>
  </si>
  <si>
    <t xml:space="preserve">R090</t>
  </si>
  <si>
    <t xml:space="preserve">R091</t>
  </si>
  <si>
    <t xml:space="preserve">R092</t>
  </si>
  <si>
    <t xml:space="preserve">R093</t>
  </si>
  <si>
    <t xml:space="preserve">R094</t>
  </si>
  <si>
    <t xml:space="preserve">R095</t>
  </si>
  <si>
    <t xml:space="preserve">R096</t>
  </si>
  <si>
    <t xml:space="preserve">R097</t>
  </si>
  <si>
    <t xml:space="preserve">R098</t>
  </si>
  <si>
    <t xml:space="preserve">R099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</si>
  <si>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</si>
  <si>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</si>
  <si>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</si>
  <si>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</si>
  <si>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</si>
  <si>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</si>
  <si>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</si>
  <si>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</si>
  <si>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</si>
  <si>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</si>
  <si>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</si>
  <si>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</si>
  <si>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</si>
  <si>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</si>
  <si>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</si>
  <si>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</si>
  <si>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</si>
  <si>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</si>
  <si>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</si>
  <si>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</si>
  <si>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</si>
  <si>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Model Parameters</t>
  </si>
  <si>
    <t xml:space="preserve">Fare-tier thresholds = 33rd / 67th percentile of completed-ride fares, computed once from the dataset (edit the yellow cells to re-tier).</t>
  </si>
  <si>
    <t xml:space="preserve">Parameter</t>
  </si>
  <si>
    <t xml:space="preserve">Value</t>
  </si>
  <si>
    <t xml:space="preserve">Low/Mid fare threshold (33rd pct. of completed fares)</t>
  </si>
  <si>
    <t xml:space="preserve">Mid/High fare threshold (67th pct. of completed fares)</t>
  </si>
  <si>
    <t xml:space="preserve">Date Table</t>
  </si>
  <si>
    <t xml:space="preserve">Dedicated date dimension for August 2026 (the full span of the ride log).</t>
  </si>
  <si>
    <t xml:space="preserve">Day</t>
  </si>
  <si>
    <t xml:space="preserve">Month</t>
  </si>
  <si>
    <t xml:space="preserve">Is Weekend</t>
  </si>
  <si>
    <t xml:space="preserve">Core KPI Summary</t>
  </si>
  <si>
    <t xml:space="preserve">Equivalent of the Power BI measures table — validate these against your DAX.</t>
  </si>
  <si>
    <t xml:space="preserve">Measure</t>
  </si>
  <si>
    <t xml:space="preserve">Notes</t>
  </si>
  <si>
    <t xml:space="preserve">Total Rides</t>
  </si>
  <si>
    <t xml:space="preserve">All logged rides</t>
  </si>
  <si>
    <t xml:space="preserve">Completed Rides</t>
  </si>
  <si>
    <t xml:space="preserve">Status = Completed</t>
  </si>
  <si>
    <t xml:space="preserve">Cancelled Rides</t>
  </si>
  <si>
    <t xml:space="preserve">Status = Cancelled</t>
  </si>
  <si>
    <t xml:space="preserve">Completion Rate</t>
  </si>
  <si>
    <t xml:space="preserve">Cancellation Rate</t>
  </si>
  <si>
    <t xml:space="preserve">Total Revenue</t>
  </si>
  <si>
    <t xml:space="preserve">Completed rides only</t>
  </si>
  <si>
    <t xml:space="preserve">Average Fare (Completed)</t>
  </si>
  <si>
    <t xml:space="preserve">Revenue per Completed Ride</t>
  </si>
  <si>
    <t xml:space="preserve">Total Revenue divided by Completed Rides (same as Avg Fare here since no surge/tips)</t>
  </si>
  <si>
    <t xml:space="preserve">Average Rating</t>
  </si>
  <si>
    <t xml:space="preserve">Ratings only exist for completed rides</t>
  </si>
  <si>
    <t xml:space="preserve">Cancellation &amp; Demand by Weekday</t>
  </si>
  <si>
    <t xml:space="preserve">Hour-of-day data is not available in this dataset; weekday is the finest time grain we can analyze.</t>
  </si>
  <si>
    <t xml:space="preserve">Revenue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</si>
  <si>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</si>
  <si>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</si>
  <si>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</si>
  <si>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</si>
  <si>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</si>
  <si>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</si>
  <si>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</si>
  <si>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Week-over-Week Trend</t>
  </si>
  <si>
    <t xml:space="preserve">Only one calendar month of data exists, so trend is shown week-over-week rather than month-over-month. Week 31 is partial (2 days).</t>
  </si>
  <si>
    <t xml:space="preserve">Revenue vs Prior Week</t>
  </si>
  <si>
    <t xml:space="preserve">% Change vs Prior Week</t>
  </si>
  <si>
    <t xml:space="preserve">Revenue &amp; Cancellation by Pickup Location</t>
  </si>
  <si>
    <t xml:space="preserve">Ranked by revenue contribution; use to spot high-volume/low-revenue and low-volume/high-fare segments.</t>
  </si>
  <si>
    <t xml:space="preserve">Revenue % of Total</t>
  </si>
  <si>
    <t xml:space="preserve">Revenue Rank</t>
  </si>
  <si>
    <t xml:space="preserve">Avg Fare (Completed)</t>
  </si>
  <si>
    <t xml:space="preserve">Route-Level Analysis (Top Corridors)</t>
  </si>
  <si>
    <t xml:space="preserve">No ride-type or distance field exists, so pickup-&gt;drop-off route is the closest available segment. Only routes with 3+ rides are shown for statistical stability.</t>
  </si>
  <si>
    <t xml:space="preserve">Bahria Town -&gt; Airport</t>
  </si>
  <si>
    <t xml:space="preserve">Bahria Town -&gt; Cantt</t>
  </si>
  <si>
    <t xml:space="preserve">Gulberg -&gt; Askari</t>
  </si>
  <si>
    <t xml:space="preserve">Gulberg -&gt; Model Town</t>
  </si>
  <si>
    <t xml:space="preserve">Iqbal Town -&gt; Cantt</t>
  </si>
  <si>
    <t xml:space="preserve">Iqbal Town -&gt; Gulberg</t>
  </si>
  <si>
    <t xml:space="preserve">Iqbal Town -&gt; Model Town</t>
  </si>
  <si>
    <t xml:space="preserve">Johar Town -&gt; Askari</t>
  </si>
  <si>
    <t xml:space="preserve">Johar Town -&gt; Cantt</t>
  </si>
  <si>
    <t xml:space="preserve">Johar Town -&gt; DHA</t>
  </si>
  <si>
    <t xml:space="preserve">Johar Town -&gt; Gulberg</t>
  </si>
  <si>
    <t xml:space="preserve">Johar Town -&gt; Model Town</t>
  </si>
  <si>
    <t xml:space="preserve">Lahore -&gt; Cantt</t>
  </si>
  <si>
    <t xml:space="preserve">Lahore -&gt; Model Town</t>
  </si>
  <si>
    <t xml:space="preserve">Model Town -&gt; Airport</t>
  </si>
  <si>
    <t xml:space="preserve">Model Town -&gt; Askari</t>
  </si>
  <si>
    <t xml:space="preserve">Model Town -&gt; Gulberg</t>
  </si>
  <si>
    <t xml:space="preserve">Wapda Town -&gt; Airport</t>
  </si>
  <si>
    <t xml:space="preserve">Wapda Town -&gt; Faisal Town</t>
  </si>
  <si>
    <t xml:space="preserve">Wapda Town -&gt; Model Town</t>
  </si>
  <si>
    <t xml:space="preserve">Revenue &amp; Cancellation by Payment Method</t>
  </si>
  <si>
    <t xml:space="preserve">Fare-Tier Segmentation (proxy for customer segmentation)</t>
  </si>
  <si>
    <t xml:space="preserve">No customer ID exists in this dataset, so true ride-frequency segmentation is not possible. Rides are grouped into Low/Mid/High fare tiers instead - see Limitations.</t>
  </si>
  <si>
    <t xml:space="preserve">Rides</t>
  </si>
  <si>
    <t xml:space="preserve">% of Completed Rides</t>
  </si>
  <si>
    <t xml:space="preserve">% of Total Revenue</t>
  </si>
  <si>
    <t xml:space="preserve">Avg Fare</t>
  </si>
  <si>
    <t xml:space="preserve">Low</t>
  </si>
  <si>
    <t xml:space="preserve">Mid</t>
  </si>
  <si>
    <t xml:space="preserve">High</t>
  </si>
  <si>
    <t xml:space="preserve">What-If Scenario: Cancellation Reduction &amp; Fare Change</t>
  </si>
  <si>
    <t xml:space="preserve">Estimates only - not guaranteed outcomes. Edit the yellow input cells.</t>
  </si>
  <si>
    <t xml:space="preserve">Inputs (edit the yellow cells)</t>
  </si>
  <si>
    <t xml:space="preserve">Current Cancellation Rate</t>
  </si>
  <si>
    <t xml:space="preserve">Target Cancellation Rate</t>
  </si>
  <si>
    <t xml:space="preserve">Current Average Fare</t>
  </si>
  <si>
    <t xml:space="preserve">Assumed Fare Increase %</t>
  </si>
  <si>
    <t xml:space="preserve">Scenario Outputs</t>
  </si>
  <si>
    <t xml:space="preserve">Total Rides (unchanged)</t>
  </si>
  <si>
    <t xml:space="preserve">Additional Completed Rides (if cancellation drops to target)</t>
  </si>
  <si>
    <t xml:space="preserve">Estimated Extra Revenue from Fewer Cancellations</t>
  </si>
  <si>
    <t xml:space="preserve">Estimated Revenue Impact of Fare Increase (existing completed rides)</t>
  </si>
  <si>
    <t xml:space="preserve">Combined Estimated Revenue Uplift</t>
  </si>
  <si>
    <t xml:space="preserve">Combined Uplift as % of Current Revenue</t>
  </si>
  <si>
    <t xml:space="preserve">Assumptions: fare mix and demand pattern stay constant; 'target cancellation rate' assumes lost rides convert to completed rides at the current average fare; no cost data exists, so these are revenue (not profit) estimates.</t>
  </si>
  <si>
    <t xml:space="preserve">DAX Measure Library</t>
  </si>
  <si>
    <t xml:space="preserve">Copy these into Power BI's Modeling &gt; New Measure. They mirror the formulas validated on the sheets above.</t>
  </si>
  <si>
    <t xml:space="preserve">Measure Name</t>
  </si>
  <si>
    <t xml:space="preserve">DAX Formula</t>
  </si>
  <si>
    <t xml:space="preserve">Total Revenue = CALCULATE(SUM('Raw Data'[Fare]), 'Raw Data'[Ride Status] = "Completed")</t>
  </si>
  <si>
    <t xml:space="preserve">Completed Rides = CALCULATE(COUNTROWS('Raw Data'), 'Raw Data'[Ride Status] = "Completed")</t>
  </si>
  <si>
    <t xml:space="preserve">Cancelled Rides = CALCULATE(COUNTROWS('Raw Data'), 'Raw Data'[Ride Status] = "Cancelled")</t>
  </si>
  <si>
    <t xml:space="preserve">Total Rides = COUNTROWS('Raw Data')</t>
  </si>
  <si>
    <t xml:space="preserve">Completion Rate = DIVIDE([Completed Rides], [Total Rides])</t>
  </si>
  <si>
    <t xml:space="preserve">Cancellation Rate = DIVIDE([Cancelled Rides], [Total Rides])</t>
  </si>
  <si>
    <t xml:space="preserve">Average Fare</t>
  </si>
  <si>
    <t xml:space="preserve">Average Fare = CALCULATE(AVERAGE('Raw Data'[Fare]), 'Raw Data'[Ride Status] = "Completed")</t>
  </si>
  <si>
    <t xml:space="preserve">Average Distance</t>
  </si>
  <si>
    <t xml:space="preserve">-- Not available: dataset has no distance column. Add one before implementing.</t>
  </si>
  <si>
    <t xml:space="preserve">Average Rating = AVERAGE('Raw Data'[Rating])</t>
  </si>
  <si>
    <t xml:space="preserve">Revenue per Completed Ride = DIVIDE([Total Revenue], [Completed Rides])</t>
  </si>
  <si>
    <t xml:space="preserve">Revenue (Previous Week)</t>
  </si>
  <si>
    <t xml:space="preserve">Revenue PW = CALCULATE([Total Revenue], DATEADD('Date Table'[Date], -7, DAY))</t>
  </si>
  <si>
    <t xml:space="preserve">Revenue Change vs PW</t>
  </si>
  <si>
    <t xml:space="preserve">Revenue Change WoW = [Total Revenue] - [Revenue PW]</t>
  </si>
  <si>
    <t xml:space="preserve">Revenue % Change vs PW</t>
  </si>
  <si>
    <t xml:space="preserve">Revenue % Change WoW = DIVIDE([Revenue Change WoW], [Revenue PW])</t>
  </si>
  <si>
    <t xml:space="preserve">Location Revenue Rank</t>
  </si>
  <si>
    <t xml:space="preserve">Location Revenue Rank = RANKX(ALL('Raw Data'[Pickup Location]), [Total Revenue],, DESC)</t>
  </si>
  <si>
    <t xml:space="preserve">Revenue % of Total (Contribution)</t>
  </si>
  <si>
    <t xml:space="preserve">Revenue % of Total = DIVIDE([Total Revenue], CALCULATE([Total Revenue], ALL('Raw Data')))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</si>
</sst>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"/>
    <numFmt numFmtId="167" formatCode="0"/>
    <numFmt numFmtId="168" formatCode="0.0%"/>
    <numFmt numFmtId="169" formatCode="0.00"/>
    <numFmt numFmtId="170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26"/>
    <col collapsed="false" customWidth="true" hidden="false" outlineLevel="0" max="12" min="12" style="0" width="1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2" t="n">
        <v>46255</v>
      </c>
      <c r="C2" s="3" t="s">
        <v>13</v>
      </c>
      <c r="D2" s="3" t="s">
        <v>14</v>
      </c>
      <c r="E2" s="4" t="n">
        <v>713</v>
      </c>
      <c r="F2" s="3" t="s">
        <v>15</v>
      </c>
      <c r="G2" s="3" t="s">
        <v>16</v>
      </c>
      <c r="H2" s="0" t="n">
        <v>5</v>
      </c>
      <c r="I2" s="0" t="str">
        <f aca="false">TEXT(B2,"dddd")</f>
        <v>Friday</v>
      </c>
      <c r="J2" s="3" t="n">
        <f aca="false">WEEKNUM(B2,2)</f>
        <v>34</v>
      </c>
      <c r="K2" s="0" t="str">
        <f aca="false">C2&amp;" -&gt; "&amp;D2</f>
        <v>Gulberg -&gt; DHA</v>
      </c>
      <c r="L2" s="0" t="str">
        <f aca="false">IF(E2&lt;Params!$B$5,"Low",IF(E2&lt;=Params!$B$6,"Mid","High"))</f>
        <v>Mid</v>
      </c>
    </row>
    <row r="3" customFormat="false" ht="15" hidden="false" customHeight="false" outlineLevel="0" collapsed="false">
      <c r="A3" s="0" t="s">
        <v>17</v>
      </c>
      <c r="B3" s="2" t="n">
        <v>46238</v>
      </c>
      <c r="C3" s="3" t="s">
        <v>13</v>
      </c>
      <c r="D3" s="3" t="s">
        <v>18</v>
      </c>
      <c r="E3" s="4" t="n">
        <v>215</v>
      </c>
      <c r="F3" s="3" t="s">
        <v>15</v>
      </c>
      <c r="G3" s="3" t="s">
        <v>16</v>
      </c>
      <c r="H3" s="0" t="n">
        <v>3</v>
      </c>
      <c r="I3" s="0" t="str">
        <f aca="false">TEXT(B3,"dddd")</f>
        <v>Tuesday</v>
      </c>
      <c r="J3" s="3" t="n">
        <f aca="false">WEEKNUM(B3,2)</f>
        <v>32</v>
      </c>
      <c r="K3" s="0" t="str">
        <f aca="false">C3&amp;" -&gt; "&amp;D3</f>
        <v>Gulberg -&gt; Askari</v>
      </c>
      <c r="L3" s="0" t="str">
        <f aca="false">IF(E3&lt;Params!$B$5,"Low",IF(E3&lt;=Params!$B$6,"Mid","High"))</f>
        <v>Low</v>
      </c>
    </row>
    <row r="4" customFormat="false" ht="15" hidden="false" customHeight="false" outlineLevel="0" collapsed="false">
      <c r="A4" s="0" t="s">
        <v>19</v>
      </c>
      <c r="B4" s="2" t="n">
        <v>46251</v>
      </c>
      <c r="C4" s="3" t="s">
        <v>20</v>
      </c>
      <c r="D4" s="3" t="s">
        <v>21</v>
      </c>
      <c r="E4" s="4" t="n">
        <v>1009</v>
      </c>
      <c r="F4" s="3" t="s">
        <v>15</v>
      </c>
      <c r="G4" s="3" t="s">
        <v>16</v>
      </c>
      <c r="H4" s="0" t="n">
        <v>4</v>
      </c>
      <c r="I4" s="0" t="str">
        <f aca="false">TEXT(B4,"dddd")</f>
        <v>Monday</v>
      </c>
      <c r="J4" s="3" t="n">
        <f aca="false">WEEKNUM(B4,2)</f>
        <v>34</v>
      </c>
      <c r="K4" s="0" t="str">
        <f aca="false">C4&amp;" -&gt; "&amp;D4</f>
        <v>Lahore -&gt; Cantt</v>
      </c>
      <c r="L4" s="0" t="str">
        <f aca="false">IF(E4&lt;Params!$B$5,"Low",IF(E4&lt;=Params!$B$6,"Mid","High"))</f>
        <v>High</v>
      </c>
    </row>
    <row r="5" customFormat="false" ht="15" hidden="false" customHeight="false" outlineLevel="0" collapsed="false">
      <c r="A5" s="0" t="s">
        <v>22</v>
      </c>
      <c r="B5" s="2" t="n">
        <v>46260</v>
      </c>
      <c r="C5" s="3" t="s">
        <v>20</v>
      </c>
      <c r="D5" s="3" t="s">
        <v>23</v>
      </c>
      <c r="E5" s="4" t="n">
        <v>1015</v>
      </c>
      <c r="F5" s="3" t="s">
        <v>24</v>
      </c>
      <c r="G5" s="3" t="s">
        <v>16</v>
      </c>
      <c r="H5" s="0" t="n">
        <v>3</v>
      </c>
      <c r="I5" s="0" t="str">
        <f aca="false">TEXT(B5,"dddd")</f>
        <v>Wednesday</v>
      </c>
      <c r="J5" s="3" t="n">
        <f aca="false">WEEKNUM(B5,2)</f>
        <v>35</v>
      </c>
      <c r="K5" s="0" t="str">
        <f aca="false">C5&amp;" -&gt; "&amp;D5</f>
        <v>Lahore -&gt; Model Town</v>
      </c>
      <c r="L5" s="0" t="str">
        <f aca="false">IF(E5&lt;Params!$B$5,"Low",IF(E5&lt;=Params!$B$6,"Mid","High"))</f>
        <v>High</v>
      </c>
    </row>
    <row r="6" customFormat="false" ht="15" hidden="false" customHeight="false" outlineLevel="0" collapsed="false">
      <c r="A6" s="0" t="s">
        <v>25</v>
      </c>
      <c r="B6" s="2" t="n">
        <v>46259</v>
      </c>
      <c r="C6" s="3" t="s">
        <v>26</v>
      </c>
      <c r="D6" s="3" t="s">
        <v>13</v>
      </c>
      <c r="E6" s="4" t="n">
        <v>339</v>
      </c>
      <c r="F6" s="3" t="s">
        <v>24</v>
      </c>
      <c r="G6" s="3" t="s">
        <v>16</v>
      </c>
      <c r="H6" s="0" t="n">
        <v>4</v>
      </c>
      <c r="I6" s="0" t="str">
        <f aca="false">TEXT(B6,"dddd")</f>
        <v>Tuesday</v>
      </c>
      <c r="J6" s="3" t="n">
        <f aca="false">WEEKNUM(B6,2)</f>
        <v>35</v>
      </c>
      <c r="K6" s="0" t="str">
        <f aca="false">C6&amp;" -&gt; "&amp;D6</f>
        <v>Bahria Town -&gt; Gulberg</v>
      </c>
      <c r="L6" s="0" t="str">
        <f aca="false">IF(E6&lt;Params!$B$5,"Low",IF(E6&lt;=Params!$B$6,"Mid","High"))</f>
        <v>Low</v>
      </c>
    </row>
    <row r="7" customFormat="false" ht="15" hidden="false" customHeight="false" outlineLevel="0" collapsed="false">
      <c r="A7" s="0" t="s">
        <v>27</v>
      </c>
      <c r="B7" s="2" t="n">
        <v>46254</v>
      </c>
      <c r="C7" s="3" t="s">
        <v>28</v>
      </c>
      <c r="D7" s="3" t="s">
        <v>14</v>
      </c>
      <c r="E7" s="4" t="n">
        <v>1090</v>
      </c>
      <c r="F7" s="3" t="s">
        <v>29</v>
      </c>
      <c r="G7" s="3" t="s">
        <v>16</v>
      </c>
      <c r="H7" s="0" t="n">
        <v>4</v>
      </c>
      <c r="I7" s="0" t="str">
        <f aca="false">TEXT(B7,"dddd")</f>
        <v>Thursday</v>
      </c>
      <c r="J7" s="3" t="n">
        <f aca="false">WEEKNUM(B7,2)</f>
        <v>34</v>
      </c>
      <c r="K7" s="0" t="str">
        <f aca="false">C7&amp;" -&gt; "&amp;D7</f>
        <v>Johar Town -&gt; DHA</v>
      </c>
      <c r="L7" s="0" t="str">
        <f aca="false">IF(E7&lt;Params!$B$5,"Low",IF(E7&lt;=Params!$B$6,"Mid","High"))</f>
        <v>High</v>
      </c>
    </row>
    <row r="8" customFormat="false" ht="15" hidden="false" customHeight="false" outlineLevel="0" collapsed="false">
      <c r="A8" s="0" t="s">
        <v>30</v>
      </c>
      <c r="B8" s="2" t="n">
        <v>46237</v>
      </c>
      <c r="C8" s="3" t="s">
        <v>28</v>
      </c>
      <c r="D8" s="3" t="s">
        <v>31</v>
      </c>
      <c r="E8" s="4" t="n">
        <v>543</v>
      </c>
      <c r="F8" s="3" t="s">
        <v>29</v>
      </c>
      <c r="G8" s="3" t="s">
        <v>16</v>
      </c>
      <c r="H8" s="0" t="n">
        <v>5</v>
      </c>
      <c r="I8" s="0" t="str">
        <f aca="false">TEXT(B8,"dddd")</f>
        <v>Monday</v>
      </c>
      <c r="J8" s="3" t="n">
        <f aca="false">WEEKNUM(B8,2)</f>
        <v>32</v>
      </c>
      <c r="K8" s="0" t="str">
        <f aca="false">C8&amp;" -&gt; "&amp;D8</f>
        <v>Johar Town -&gt; Faisal Town</v>
      </c>
      <c r="L8" s="0" t="str">
        <f aca="false">IF(E8&lt;Params!$B$5,"Low",IF(E8&lt;=Params!$B$6,"Mid","High"))</f>
        <v>Low</v>
      </c>
    </row>
    <row r="9" customFormat="false" ht="15" hidden="false" customHeight="false" outlineLevel="0" collapsed="false">
      <c r="A9" s="0" t="s">
        <v>32</v>
      </c>
      <c r="B9" s="2" t="n">
        <v>46242</v>
      </c>
      <c r="C9" s="3" t="s">
        <v>28</v>
      </c>
      <c r="D9" s="3" t="s">
        <v>13</v>
      </c>
      <c r="E9" s="4" t="n">
        <v>626</v>
      </c>
      <c r="F9" s="3" t="s">
        <v>15</v>
      </c>
      <c r="G9" s="3" t="s">
        <v>16</v>
      </c>
      <c r="H9" s="0" t="n">
        <v>4</v>
      </c>
      <c r="I9" s="0" t="str">
        <f aca="false">TEXT(B9,"dddd")</f>
        <v>Saturday</v>
      </c>
      <c r="J9" s="3" t="n">
        <f aca="false">WEEKNUM(B9,2)</f>
        <v>32</v>
      </c>
      <c r="K9" s="0" t="str">
        <f aca="false">C9&amp;" -&gt; "&amp;D9</f>
        <v>Johar Town -&gt; Gulberg</v>
      </c>
      <c r="L9" s="0" t="str">
        <f aca="false">IF(E9&lt;Params!$B$5,"Low",IF(E9&lt;=Params!$B$6,"Mid","High"))</f>
        <v>Mid</v>
      </c>
    </row>
    <row r="10" customFormat="false" ht="15" hidden="false" customHeight="false" outlineLevel="0" collapsed="false">
      <c r="A10" s="0" t="s">
        <v>33</v>
      </c>
      <c r="B10" s="2" t="n">
        <v>46255</v>
      </c>
      <c r="C10" s="3" t="s">
        <v>26</v>
      </c>
      <c r="D10" s="3" t="s">
        <v>23</v>
      </c>
      <c r="E10" s="4" t="n">
        <v>908</v>
      </c>
      <c r="F10" s="3" t="s">
        <v>24</v>
      </c>
      <c r="G10" s="3" t="s">
        <v>16</v>
      </c>
      <c r="H10" s="0" t="n">
        <v>4</v>
      </c>
      <c r="I10" s="0" t="str">
        <f aca="false">TEXT(B10,"dddd")</f>
        <v>Friday</v>
      </c>
      <c r="J10" s="3" t="n">
        <f aca="false">WEEKNUM(B10,2)</f>
        <v>34</v>
      </c>
      <c r="K10" s="0" t="str">
        <f aca="false">C10&amp;" -&gt; "&amp;D10</f>
        <v>Bahria Town -&gt; Model Town</v>
      </c>
      <c r="L10" s="0" t="str">
        <f aca="false">IF(E10&lt;Params!$B$5,"Low",IF(E10&lt;=Params!$B$6,"Mid","High"))</f>
        <v>High</v>
      </c>
    </row>
    <row r="11" customFormat="false" ht="15" hidden="false" customHeight="false" outlineLevel="0" collapsed="false">
      <c r="A11" s="0" t="s">
        <v>34</v>
      </c>
      <c r="B11" s="2" t="n">
        <v>46257</v>
      </c>
      <c r="C11" s="3" t="s">
        <v>13</v>
      </c>
      <c r="D11" s="3" t="s">
        <v>23</v>
      </c>
      <c r="E11" s="4" t="n">
        <v>651</v>
      </c>
      <c r="F11" s="3" t="s">
        <v>15</v>
      </c>
      <c r="G11" s="3" t="s">
        <v>16</v>
      </c>
      <c r="H11" s="0" t="n">
        <v>4</v>
      </c>
      <c r="I11" s="0" t="str">
        <f aca="false">TEXT(B11,"dddd")</f>
        <v>Sunday</v>
      </c>
      <c r="J11" s="3" t="n">
        <f aca="false">WEEKNUM(B11,2)</f>
        <v>34</v>
      </c>
      <c r="K11" s="0" t="str">
        <f aca="false">C11&amp;" -&gt; "&amp;D11</f>
        <v>Gulberg -&gt; Model Town</v>
      </c>
      <c r="L11" s="0" t="str">
        <f aca="false">IF(E11&lt;Params!$B$5,"Low",IF(E11&lt;=Params!$B$6,"Mid","High"))</f>
        <v>Mid</v>
      </c>
    </row>
    <row r="12" customFormat="false" ht="15" hidden="false" customHeight="false" outlineLevel="0" collapsed="false">
      <c r="A12" s="0" t="s">
        <v>35</v>
      </c>
      <c r="B12" s="2" t="n">
        <v>46264</v>
      </c>
      <c r="C12" s="3" t="s">
        <v>23</v>
      </c>
      <c r="D12" s="3" t="s">
        <v>31</v>
      </c>
      <c r="E12" s="4" t="n">
        <v>264</v>
      </c>
      <c r="F12" s="3" t="s">
        <v>15</v>
      </c>
      <c r="G12" s="3" t="s">
        <v>36</v>
      </c>
      <c r="I12" s="0" t="str">
        <f aca="false">TEXT(B12,"dddd")</f>
        <v>Sunday</v>
      </c>
      <c r="J12" s="3" t="n">
        <f aca="false">WEEKNUM(B12,2)</f>
        <v>35</v>
      </c>
      <c r="K12" s="0" t="str">
        <f aca="false">C12&amp;" -&gt; "&amp;D12</f>
        <v>Model Town -&gt; Faisal Town</v>
      </c>
      <c r="L12" s="0" t="str">
        <f aca="false">IF(E12&lt;Params!$B$5,"Low",IF(E12&lt;=Params!$B$6,"Mid","High"))</f>
        <v>Low</v>
      </c>
    </row>
    <row r="13" customFormat="false" ht="15" hidden="false" customHeight="false" outlineLevel="0" collapsed="false">
      <c r="A13" s="0" t="s">
        <v>37</v>
      </c>
      <c r="B13" s="2" t="n">
        <v>46260</v>
      </c>
      <c r="C13" s="3" t="s">
        <v>26</v>
      </c>
      <c r="D13" s="3" t="s">
        <v>18</v>
      </c>
      <c r="E13" s="4" t="n">
        <v>698</v>
      </c>
      <c r="F13" s="3" t="s">
        <v>15</v>
      </c>
      <c r="G13" s="3" t="s">
        <v>16</v>
      </c>
      <c r="H13" s="0" t="n">
        <v>5</v>
      </c>
      <c r="I13" s="0" t="str">
        <f aca="false">TEXT(B13,"dddd")</f>
        <v>Wednesday</v>
      </c>
      <c r="J13" s="3" t="n">
        <f aca="false">WEEKNUM(B13,2)</f>
        <v>35</v>
      </c>
      <c r="K13" s="0" t="str">
        <f aca="false">C13&amp;" -&gt; "&amp;D13</f>
        <v>Bahria Town -&gt; Askari</v>
      </c>
      <c r="L13" s="0" t="str">
        <f aca="false">IF(E13&lt;Params!$B$5,"Low",IF(E13&lt;=Params!$B$6,"Mid","High"))</f>
        <v>Mid</v>
      </c>
    </row>
    <row r="14" customFormat="false" ht="15" hidden="false" customHeight="false" outlineLevel="0" collapsed="false">
      <c r="A14" s="0" t="s">
        <v>38</v>
      </c>
      <c r="B14" s="2" t="n">
        <v>46263</v>
      </c>
      <c r="C14" s="3" t="s">
        <v>26</v>
      </c>
      <c r="D14" s="3" t="s">
        <v>21</v>
      </c>
      <c r="E14" s="4" t="n">
        <v>1172</v>
      </c>
      <c r="F14" s="3" t="s">
        <v>24</v>
      </c>
      <c r="G14" s="3" t="s">
        <v>36</v>
      </c>
      <c r="I14" s="0" t="str">
        <f aca="false">TEXT(B14,"dddd")</f>
        <v>Saturday</v>
      </c>
      <c r="J14" s="3" t="n">
        <f aca="false">WEEKNUM(B14,2)</f>
        <v>35</v>
      </c>
      <c r="K14" s="0" t="str">
        <f aca="false">C14&amp;" -&gt; "&amp;D14</f>
        <v>Bahria Town -&gt; Cantt</v>
      </c>
      <c r="L14" s="0" t="str">
        <f aca="false">IF(E14&lt;Params!$B$5,"Low",IF(E14&lt;=Params!$B$6,"Mid","High"))</f>
        <v>High</v>
      </c>
    </row>
    <row r="15" customFormat="false" ht="15" hidden="false" customHeight="false" outlineLevel="0" collapsed="false">
      <c r="A15" s="0" t="s">
        <v>39</v>
      </c>
      <c r="B15" s="2" t="n">
        <v>46255</v>
      </c>
      <c r="C15" s="3" t="s">
        <v>40</v>
      </c>
      <c r="D15" s="3" t="s">
        <v>23</v>
      </c>
      <c r="E15" s="4" t="n">
        <v>692</v>
      </c>
      <c r="F15" s="3" t="s">
        <v>15</v>
      </c>
      <c r="G15" s="3" t="s">
        <v>16</v>
      </c>
      <c r="H15" s="0" t="n">
        <v>5</v>
      </c>
      <c r="I15" s="0" t="str">
        <f aca="false">TEXT(B15,"dddd")</f>
        <v>Friday</v>
      </c>
      <c r="J15" s="3" t="n">
        <f aca="false">WEEKNUM(B15,2)</f>
        <v>34</v>
      </c>
      <c r="K15" s="0" t="str">
        <f aca="false">C15&amp;" -&gt; "&amp;D15</f>
        <v>Iqbal Town -&gt; Model Town</v>
      </c>
      <c r="L15" s="0" t="str">
        <f aca="false">IF(E15&lt;Params!$B$5,"Low",IF(E15&lt;=Params!$B$6,"Mid","High"))</f>
        <v>Mid</v>
      </c>
    </row>
    <row r="16" customFormat="false" ht="15" hidden="false" customHeight="false" outlineLevel="0" collapsed="false">
      <c r="A16" s="0" t="s">
        <v>41</v>
      </c>
      <c r="B16" s="2" t="n">
        <v>46252</v>
      </c>
      <c r="C16" s="3" t="s">
        <v>28</v>
      </c>
      <c r="D16" s="3" t="s">
        <v>18</v>
      </c>
      <c r="E16" s="4" t="n">
        <v>967</v>
      </c>
      <c r="F16" s="3" t="s">
        <v>24</v>
      </c>
      <c r="G16" s="3" t="s">
        <v>16</v>
      </c>
      <c r="H16" s="0" t="n">
        <v>3</v>
      </c>
      <c r="I16" s="0" t="str">
        <f aca="false">TEXT(B16,"dddd")</f>
        <v>Tuesday</v>
      </c>
      <c r="J16" s="3" t="n">
        <f aca="false">WEEKNUM(B16,2)</f>
        <v>34</v>
      </c>
      <c r="K16" s="0" t="str">
        <f aca="false">C16&amp;" -&gt; "&amp;D16</f>
        <v>Johar Town -&gt; Askari</v>
      </c>
      <c r="L16" s="0" t="str">
        <f aca="false">IF(E16&lt;Params!$B$5,"Low",IF(E16&lt;=Params!$B$6,"Mid","High"))</f>
        <v>High</v>
      </c>
    </row>
    <row r="17" customFormat="false" ht="15" hidden="false" customHeight="false" outlineLevel="0" collapsed="false">
      <c r="A17" s="0" t="s">
        <v>42</v>
      </c>
      <c r="B17" s="2" t="n">
        <v>46251</v>
      </c>
      <c r="C17" s="3" t="s">
        <v>40</v>
      </c>
      <c r="D17" s="3" t="s">
        <v>13</v>
      </c>
      <c r="E17" s="4" t="n">
        <v>246</v>
      </c>
      <c r="F17" s="3" t="s">
        <v>15</v>
      </c>
      <c r="G17" s="3" t="s">
        <v>16</v>
      </c>
      <c r="H17" s="0" t="n">
        <v>3</v>
      </c>
      <c r="I17" s="0" t="str">
        <f aca="false">TEXT(B17,"dddd")</f>
        <v>Monday</v>
      </c>
      <c r="J17" s="3" t="n">
        <f aca="false">WEEKNUM(B17,2)</f>
        <v>34</v>
      </c>
      <c r="K17" s="0" t="str">
        <f aca="false">C17&amp;" -&gt; "&amp;D17</f>
        <v>Iqbal Town -&gt; Gulberg</v>
      </c>
      <c r="L17" s="0" t="str">
        <f aca="false">IF(E17&lt;Params!$B$5,"Low",IF(E17&lt;=Params!$B$6,"Mid","High"))</f>
        <v>Low</v>
      </c>
    </row>
    <row r="18" customFormat="false" ht="15" hidden="false" customHeight="false" outlineLevel="0" collapsed="false">
      <c r="A18" s="0" t="s">
        <v>43</v>
      </c>
      <c r="B18" s="2" t="n">
        <v>46260</v>
      </c>
      <c r="C18" s="3" t="s">
        <v>44</v>
      </c>
      <c r="D18" s="3" t="s">
        <v>13</v>
      </c>
      <c r="E18" s="4" t="n">
        <v>938</v>
      </c>
      <c r="F18" s="3" t="s">
        <v>24</v>
      </c>
      <c r="G18" s="3" t="s">
        <v>16</v>
      </c>
      <c r="H18" s="0" t="n">
        <v>4</v>
      </c>
      <c r="I18" s="0" t="str">
        <f aca="false">TEXT(B18,"dddd")</f>
        <v>Wednesday</v>
      </c>
      <c r="J18" s="3" t="n">
        <f aca="false">WEEKNUM(B18,2)</f>
        <v>35</v>
      </c>
      <c r="K18" s="0" t="str">
        <f aca="false">C18&amp;" -&gt; "&amp;D18</f>
        <v>Wapda Town -&gt; Gulberg</v>
      </c>
      <c r="L18" s="0" t="str">
        <f aca="false">IF(E18&lt;Params!$B$5,"Low",IF(E18&lt;=Params!$B$6,"Mid","High"))</f>
        <v>High</v>
      </c>
    </row>
    <row r="19" customFormat="false" ht="15" hidden="false" customHeight="false" outlineLevel="0" collapsed="false">
      <c r="A19" s="0" t="s">
        <v>45</v>
      </c>
      <c r="B19" s="2" t="n">
        <v>46251</v>
      </c>
      <c r="C19" s="3" t="s">
        <v>28</v>
      </c>
      <c r="D19" s="3" t="s">
        <v>14</v>
      </c>
      <c r="E19" s="4" t="n">
        <v>384</v>
      </c>
      <c r="F19" s="3" t="s">
        <v>29</v>
      </c>
      <c r="G19" s="3" t="s">
        <v>36</v>
      </c>
      <c r="I19" s="0" t="str">
        <f aca="false">TEXT(B19,"dddd")</f>
        <v>Monday</v>
      </c>
      <c r="J19" s="3" t="n">
        <f aca="false">WEEKNUM(B19,2)</f>
        <v>34</v>
      </c>
      <c r="K19" s="0" t="str">
        <f aca="false">C19&amp;" -&gt; "&amp;D19</f>
        <v>Johar Town -&gt; DHA</v>
      </c>
      <c r="L19" s="0" t="str">
        <f aca="false">IF(E19&lt;Params!$B$5,"Low",IF(E19&lt;=Params!$B$6,"Mid","High"))</f>
        <v>Low</v>
      </c>
    </row>
    <row r="20" customFormat="false" ht="15" hidden="false" customHeight="false" outlineLevel="0" collapsed="false">
      <c r="A20" s="0" t="s">
        <v>46</v>
      </c>
      <c r="B20" s="2" t="n">
        <v>46259</v>
      </c>
      <c r="C20" s="3" t="s">
        <v>28</v>
      </c>
      <c r="D20" s="3" t="s">
        <v>31</v>
      </c>
      <c r="E20" s="4" t="n">
        <v>378</v>
      </c>
      <c r="F20" s="3" t="s">
        <v>24</v>
      </c>
      <c r="G20" s="3" t="s">
        <v>16</v>
      </c>
      <c r="H20" s="0" t="n">
        <v>4</v>
      </c>
      <c r="I20" s="0" t="str">
        <f aca="false">TEXT(B20,"dddd")</f>
        <v>Tuesday</v>
      </c>
      <c r="J20" s="3" t="n">
        <f aca="false">WEEKNUM(B20,2)</f>
        <v>35</v>
      </c>
      <c r="K20" s="0" t="str">
        <f aca="false">C20&amp;" -&gt; "&amp;D20</f>
        <v>Johar Town -&gt; Faisal Town</v>
      </c>
      <c r="L20" s="0" t="str">
        <f aca="false">IF(E20&lt;Params!$B$5,"Low",IF(E20&lt;=Params!$B$6,"Mid","High"))</f>
        <v>Low</v>
      </c>
    </row>
    <row r="21" customFormat="false" ht="15" hidden="false" customHeight="false" outlineLevel="0" collapsed="false">
      <c r="A21" s="0" t="s">
        <v>47</v>
      </c>
      <c r="B21" s="2" t="n">
        <v>46235</v>
      </c>
      <c r="C21" s="3" t="s">
        <v>28</v>
      </c>
      <c r="D21" s="3" t="s">
        <v>23</v>
      </c>
      <c r="E21" s="4" t="n">
        <v>1189</v>
      </c>
      <c r="F21" s="3" t="s">
        <v>15</v>
      </c>
      <c r="G21" s="3" t="s">
        <v>36</v>
      </c>
      <c r="I21" s="0" t="str">
        <f aca="false">TEXT(B21,"dddd")</f>
        <v>Saturday</v>
      </c>
      <c r="J21" s="3" t="n">
        <f aca="false">WEEKNUM(B21,2)</f>
        <v>31</v>
      </c>
      <c r="K21" s="0" t="str">
        <f aca="false">C21&amp;" -&gt; "&amp;D21</f>
        <v>Johar Town -&gt; Model Town</v>
      </c>
      <c r="L21" s="0" t="str">
        <f aca="false">IF(E21&lt;Params!$B$5,"Low",IF(E21&lt;=Params!$B$6,"Mid","High"))</f>
        <v>High</v>
      </c>
    </row>
    <row r="22" customFormat="false" ht="15" hidden="false" customHeight="false" outlineLevel="0" collapsed="false">
      <c r="A22" s="0" t="s">
        <v>48</v>
      </c>
      <c r="B22" s="2" t="n">
        <v>46244</v>
      </c>
      <c r="C22" s="3" t="s">
        <v>23</v>
      </c>
      <c r="D22" s="3" t="s">
        <v>23</v>
      </c>
      <c r="E22" s="4" t="n">
        <v>915</v>
      </c>
      <c r="F22" s="3" t="s">
        <v>15</v>
      </c>
      <c r="G22" s="3" t="s">
        <v>16</v>
      </c>
      <c r="H22" s="0" t="n">
        <v>5</v>
      </c>
      <c r="I22" s="0" t="str">
        <f aca="false">TEXT(B22,"dddd")</f>
        <v>Monday</v>
      </c>
      <c r="J22" s="3" t="n">
        <f aca="false">WEEKNUM(B22,2)</f>
        <v>33</v>
      </c>
      <c r="K22" s="0" t="str">
        <f aca="false">C22&amp;" -&gt; "&amp;D22</f>
        <v>Model Town -&gt; Model Town</v>
      </c>
      <c r="L22" s="0" t="str">
        <f aca="false">IF(E22&lt;Params!$B$5,"Low",IF(E22&lt;=Params!$B$6,"Mid","High"))</f>
        <v>High</v>
      </c>
    </row>
    <row r="23" customFormat="false" ht="15" hidden="false" customHeight="false" outlineLevel="0" collapsed="false">
      <c r="A23" s="0" t="s">
        <v>49</v>
      </c>
      <c r="B23" s="2" t="n">
        <v>46264</v>
      </c>
      <c r="C23" s="3" t="s">
        <v>20</v>
      </c>
      <c r="D23" s="3" t="s">
        <v>31</v>
      </c>
      <c r="E23" s="4" t="n">
        <v>1150</v>
      </c>
      <c r="F23" s="3" t="s">
        <v>15</v>
      </c>
      <c r="G23" s="3" t="s">
        <v>16</v>
      </c>
      <c r="H23" s="0" t="n">
        <v>4</v>
      </c>
      <c r="I23" s="0" t="str">
        <f aca="false">TEXT(B23,"dddd")</f>
        <v>Sunday</v>
      </c>
      <c r="J23" s="3" t="n">
        <f aca="false">WEEKNUM(B23,2)</f>
        <v>35</v>
      </c>
      <c r="K23" s="0" t="str">
        <f aca="false">C23&amp;" -&gt; "&amp;D23</f>
        <v>Lahore -&gt; Faisal Town</v>
      </c>
      <c r="L23" s="0" t="str">
        <f aca="false">IF(E23&lt;Params!$B$5,"Low",IF(E23&lt;=Params!$B$6,"Mid","High"))</f>
        <v>High</v>
      </c>
    </row>
    <row r="24" customFormat="false" ht="15" hidden="false" customHeight="false" outlineLevel="0" collapsed="false">
      <c r="A24" s="0" t="s">
        <v>50</v>
      </c>
      <c r="B24" s="2" t="n">
        <v>46263</v>
      </c>
      <c r="C24" s="3" t="s">
        <v>28</v>
      </c>
      <c r="D24" s="3" t="s">
        <v>21</v>
      </c>
      <c r="E24" s="4" t="n">
        <v>268</v>
      </c>
      <c r="F24" s="3" t="s">
        <v>15</v>
      </c>
      <c r="G24" s="3" t="s">
        <v>36</v>
      </c>
      <c r="I24" s="0" t="str">
        <f aca="false">TEXT(B24,"dddd")</f>
        <v>Saturday</v>
      </c>
      <c r="J24" s="3" t="n">
        <f aca="false">WEEKNUM(B24,2)</f>
        <v>35</v>
      </c>
      <c r="K24" s="0" t="str">
        <f aca="false">C24&amp;" -&gt; "&amp;D24</f>
        <v>Johar Town -&gt; Cantt</v>
      </c>
      <c r="L24" s="0" t="str">
        <f aca="false">IF(E24&lt;Params!$B$5,"Low",IF(E24&lt;=Params!$B$6,"Mid","High"))</f>
        <v>Low</v>
      </c>
    </row>
    <row r="25" customFormat="false" ht="15" hidden="false" customHeight="false" outlineLevel="0" collapsed="false">
      <c r="A25" s="0" t="s">
        <v>51</v>
      </c>
      <c r="B25" s="2" t="n">
        <v>46237</v>
      </c>
      <c r="C25" s="3" t="s">
        <v>13</v>
      </c>
      <c r="D25" s="3" t="s">
        <v>52</v>
      </c>
      <c r="E25" s="4" t="n">
        <v>291</v>
      </c>
      <c r="F25" s="3" t="s">
        <v>29</v>
      </c>
      <c r="G25" s="3" t="s">
        <v>16</v>
      </c>
      <c r="H25" s="0" t="n">
        <v>3</v>
      </c>
      <c r="I25" s="0" t="str">
        <f aca="false">TEXT(B25,"dddd")</f>
        <v>Monday</v>
      </c>
      <c r="J25" s="3" t="n">
        <f aca="false">WEEKNUM(B25,2)</f>
        <v>32</v>
      </c>
      <c r="K25" s="0" t="str">
        <f aca="false">C25&amp;" -&gt; "&amp;D25</f>
        <v>Gulberg -&gt; Airport</v>
      </c>
      <c r="L25" s="0" t="str">
        <f aca="false">IF(E25&lt;Params!$B$5,"Low",IF(E25&lt;=Params!$B$6,"Mid","High"))</f>
        <v>Low</v>
      </c>
    </row>
    <row r="26" customFormat="false" ht="15" hidden="false" customHeight="false" outlineLevel="0" collapsed="false">
      <c r="A26" s="0" t="s">
        <v>53</v>
      </c>
      <c r="B26" s="2" t="n">
        <v>46256</v>
      </c>
      <c r="C26" s="3" t="s">
        <v>40</v>
      </c>
      <c r="D26" s="3" t="s">
        <v>23</v>
      </c>
      <c r="E26" s="4" t="n">
        <v>692</v>
      </c>
      <c r="F26" s="3" t="s">
        <v>29</v>
      </c>
      <c r="G26" s="3" t="s">
        <v>36</v>
      </c>
      <c r="I26" s="0" t="str">
        <f aca="false">TEXT(B26,"dddd")</f>
        <v>Saturday</v>
      </c>
      <c r="J26" s="3" t="n">
        <f aca="false">WEEKNUM(B26,2)</f>
        <v>34</v>
      </c>
      <c r="K26" s="0" t="str">
        <f aca="false">C26&amp;" -&gt; "&amp;D26</f>
        <v>Iqbal Town -&gt; Model Town</v>
      </c>
      <c r="L26" s="0" t="str">
        <f aca="false">IF(E26&lt;Params!$B$5,"Low",IF(E26&lt;=Params!$B$6,"Mid","High"))</f>
        <v>Mid</v>
      </c>
    </row>
    <row r="27" customFormat="false" ht="15" hidden="false" customHeight="false" outlineLevel="0" collapsed="false">
      <c r="A27" s="0" t="s">
        <v>54</v>
      </c>
      <c r="B27" s="2" t="n">
        <v>46248</v>
      </c>
      <c r="C27" s="3" t="s">
        <v>23</v>
      </c>
      <c r="D27" s="3" t="s">
        <v>21</v>
      </c>
      <c r="E27" s="4" t="n">
        <v>788</v>
      </c>
      <c r="F27" s="3" t="s">
        <v>24</v>
      </c>
      <c r="G27" s="3" t="s">
        <v>36</v>
      </c>
      <c r="I27" s="0" t="str">
        <f aca="false">TEXT(B27,"dddd")</f>
        <v>Friday</v>
      </c>
      <c r="J27" s="3" t="n">
        <f aca="false">WEEKNUM(B27,2)</f>
        <v>33</v>
      </c>
      <c r="K27" s="0" t="str">
        <f aca="false">C27&amp;" -&gt; "&amp;D27</f>
        <v>Model Town -&gt; Cantt</v>
      </c>
      <c r="L27" s="0" t="str">
        <f aca="false">IF(E27&lt;Params!$B$5,"Low",IF(E27&lt;=Params!$B$6,"Mid","High"))</f>
        <v>Mid</v>
      </c>
    </row>
    <row r="28" customFormat="false" ht="15" hidden="false" customHeight="false" outlineLevel="0" collapsed="false">
      <c r="A28" s="0" t="s">
        <v>55</v>
      </c>
      <c r="B28" s="2" t="n">
        <v>46255</v>
      </c>
      <c r="C28" s="3" t="s">
        <v>26</v>
      </c>
      <c r="D28" s="3" t="s">
        <v>52</v>
      </c>
      <c r="E28" s="4" t="n">
        <v>1074</v>
      </c>
      <c r="F28" s="3" t="s">
        <v>15</v>
      </c>
      <c r="G28" s="3" t="s">
        <v>16</v>
      </c>
      <c r="H28" s="0" t="n">
        <v>3</v>
      </c>
      <c r="I28" s="0" t="str">
        <f aca="false">TEXT(B28,"dddd")</f>
        <v>Friday</v>
      </c>
      <c r="J28" s="3" t="n">
        <f aca="false">WEEKNUM(B28,2)</f>
        <v>34</v>
      </c>
      <c r="K28" s="0" t="str">
        <f aca="false">C28&amp;" -&gt; "&amp;D28</f>
        <v>Bahria Town -&gt; Airport</v>
      </c>
      <c r="L28" s="0" t="str">
        <f aca="false">IF(E28&lt;Params!$B$5,"Low",IF(E28&lt;=Params!$B$6,"Mid","High"))</f>
        <v>High</v>
      </c>
    </row>
    <row r="29" customFormat="false" ht="15" hidden="false" customHeight="false" outlineLevel="0" collapsed="false">
      <c r="A29" s="0" t="s">
        <v>56</v>
      </c>
      <c r="B29" s="2" t="n">
        <v>46245</v>
      </c>
      <c r="C29" s="3" t="s">
        <v>20</v>
      </c>
      <c r="D29" s="3" t="s">
        <v>21</v>
      </c>
      <c r="E29" s="4" t="n">
        <v>601</v>
      </c>
      <c r="F29" s="3" t="s">
        <v>15</v>
      </c>
      <c r="G29" s="3" t="s">
        <v>16</v>
      </c>
      <c r="H29" s="0" t="n">
        <v>5</v>
      </c>
      <c r="I29" s="0" t="str">
        <f aca="false">TEXT(B29,"dddd")</f>
        <v>Tuesday</v>
      </c>
      <c r="J29" s="3" t="n">
        <f aca="false">WEEKNUM(B29,2)</f>
        <v>33</v>
      </c>
      <c r="K29" s="0" t="str">
        <f aca="false">C29&amp;" -&gt; "&amp;D29</f>
        <v>Lahore -&gt; Cantt</v>
      </c>
      <c r="L29" s="0" t="str">
        <f aca="false">IF(E29&lt;Params!$B$5,"Low",IF(E29&lt;=Params!$B$6,"Mid","High"))</f>
        <v>Mid</v>
      </c>
    </row>
    <row r="30" customFormat="false" ht="15" hidden="false" customHeight="false" outlineLevel="0" collapsed="false">
      <c r="A30" s="0" t="s">
        <v>57</v>
      </c>
      <c r="B30" s="2" t="n">
        <v>46236</v>
      </c>
      <c r="C30" s="3" t="s">
        <v>23</v>
      </c>
      <c r="D30" s="3" t="s">
        <v>13</v>
      </c>
      <c r="E30" s="4" t="n">
        <v>214</v>
      </c>
      <c r="F30" s="3" t="s">
        <v>24</v>
      </c>
      <c r="G30" s="3" t="s">
        <v>16</v>
      </c>
      <c r="H30" s="0" t="n">
        <v>3</v>
      </c>
      <c r="I30" s="0" t="str">
        <f aca="false">TEXT(B30,"dddd")</f>
        <v>Sunday</v>
      </c>
      <c r="J30" s="3" t="n">
        <f aca="false">WEEKNUM(B30,2)</f>
        <v>31</v>
      </c>
      <c r="K30" s="0" t="str">
        <f aca="false">C30&amp;" -&gt; "&amp;D30</f>
        <v>Model Town -&gt; Gulberg</v>
      </c>
      <c r="L30" s="0" t="str">
        <f aca="false">IF(E30&lt;Params!$B$5,"Low",IF(E30&lt;=Params!$B$6,"Mid","High"))</f>
        <v>Low</v>
      </c>
    </row>
    <row r="31" customFormat="false" ht="15" hidden="false" customHeight="false" outlineLevel="0" collapsed="false">
      <c r="A31" s="0" t="s">
        <v>58</v>
      </c>
      <c r="B31" s="2" t="n">
        <v>46243</v>
      </c>
      <c r="C31" s="3" t="s">
        <v>40</v>
      </c>
      <c r="D31" s="3" t="s">
        <v>21</v>
      </c>
      <c r="E31" s="4" t="n">
        <v>420</v>
      </c>
      <c r="F31" s="3" t="s">
        <v>29</v>
      </c>
      <c r="G31" s="3" t="s">
        <v>36</v>
      </c>
      <c r="I31" s="0" t="str">
        <f aca="false">TEXT(B31,"dddd")</f>
        <v>Sunday</v>
      </c>
      <c r="J31" s="3" t="n">
        <f aca="false">WEEKNUM(B31,2)</f>
        <v>32</v>
      </c>
      <c r="K31" s="0" t="str">
        <f aca="false">C31&amp;" -&gt; "&amp;D31</f>
        <v>Iqbal Town -&gt; Cantt</v>
      </c>
      <c r="L31" s="0" t="str">
        <f aca="false">IF(E31&lt;Params!$B$5,"Low",IF(E31&lt;=Params!$B$6,"Mid","High"))</f>
        <v>Low</v>
      </c>
    </row>
    <row r="32" customFormat="false" ht="15" hidden="false" customHeight="false" outlineLevel="0" collapsed="false">
      <c r="A32" s="0" t="s">
        <v>59</v>
      </c>
      <c r="B32" s="2" t="n">
        <v>46253</v>
      </c>
      <c r="C32" s="3" t="s">
        <v>40</v>
      </c>
      <c r="D32" s="3" t="s">
        <v>21</v>
      </c>
      <c r="E32" s="4" t="n">
        <v>1118</v>
      </c>
      <c r="F32" s="3" t="s">
        <v>24</v>
      </c>
      <c r="G32" s="3" t="s">
        <v>16</v>
      </c>
      <c r="H32" s="0" t="n">
        <v>3</v>
      </c>
      <c r="I32" s="0" t="str">
        <f aca="false">TEXT(B32,"dddd")</f>
        <v>Wednesday</v>
      </c>
      <c r="J32" s="3" t="n">
        <f aca="false">WEEKNUM(B32,2)</f>
        <v>34</v>
      </c>
      <c r="K32" s="0" t="str">
        <f aca="false">C32&amp;" -&gt; "&amp;D32</f>
        <v>Iqbal Town -&gt; Cantt</v>
      </c>
      <c r="L32" s="0" t="str">
        <f aca="false">IF(E32&lt;Params!$B$5,"Low",IF(E32&lt;=Params!$B$6,"Mid","High"))</f>
        <v>High</v>
      </c>
    </row>
    <row r="33" customFormat="false" ht="15" hidden="false" customHeight="false" outlineLevel="0" collapsed="false">
      <c r="A33" s="0" t="s">
        <v>60</v>
      </c>
      <c r="B33" s="2" t="n">
        <v>46256</v>
      </c>
      <c r="C33" s="3" t="s">
        <v>44</v>
      </c>
      <c r="D33" s="3" t="s">
        <v>31</v>
      </c>
      <c r="E33" s="4" t="n">
        <v>1017</v>
      </c>
      <c r="F33" s="3" t="s">
        <v>24</v>
      </c>
      <c r="G33" s="3" t="s">
        <v>16</v>
      </c>
      <c r="H33" s="0" t="n">
        <v>5</v>
      </c>
      <c r="I33" s="0" t="str">
        <f aca="false">TEXT(B33,"dddd")</f>
        <v>Saturday</v>
      </c>
      <c r="J33" s="3" t="n">
        <f aca="false">WEEKNUM(B33,2)</f>
        <v>34</v>
      </c>
      <c r="K33" s="0" t="str">
        <f aca="false">C33&amp;" -&gt; "&amp;D33</f>
        <v>Wapda Town -&gt; Faisal Town</v>
      </c>
      <c r="L33" s="0" t="str">
        <f aca="false">IF(E33&lt;Params!$B$5,"Low",IF(E33&lt;=Params!$B$6,"Mid","High"))</f>
        <v>High</v>
      </c>
    </row>
    <row r="34" customFormat="false" ht="15" hidden="false" customHeight="false" outlineLevel="0" collapsed="false">
      <c r="A34" s="0" t="s">
        <v>61</v>
      </c>
      <c r="B34" s="2" t="n">
        <v>46236</v>
      </c>
      <c r="C34" s="3" t="s">
        <v>13</v>
      </c>
      <c r="D34" s="3" t="s">
        <v>14</v>
      </c>
      <c r="E34" s="4" t="n">
        <v>974</v>
      </c>
      <c r="F34" s="3" t="s">
        <v>29</v>
      </c>
      <c r="G34" s="3" t="s">
        <v>16</v>
      </c>
      <c r="H34" s="0" t="n">
        <v>3</v>
      </c>
      <c r="I34" s="0" t="str">
        <f aca="false">TEXT(B34,"dddd")</f>
        <v>Sunday</v>
      </c>
      <c r="J34" s="3" t="n">
        <f aca="false">WEEKNUM(B34,2)</f>
        <v>31</v>
      </c>
      <c r="K34" s="0" t="str">
        <f aca="false">C34&amp;" -&gt; "&amp;D34</f>
        <v>Gulberg -&gt; DHA</v>
      </c>
      <c r="L34" s="0" t="str">
        <f aca="false">IF(E34&lt;Params!$B$5,"Low",IF(E34&lt;=Params!$B$6,"Mid","High"))</f>
        <v>High</v>
      </c>
    </row>
    <row r="35" customFormat="false" ht="15" hidden="false" customHeight="false" outlineLevel="0" collapsed="false">
      <c r="A35" s="0" t="s">
        <v>62</v>
      </c>
      <c r="B35" s="2" t="n">
        <v>46242</v>
      </c>
      <c r="C35" s="3" t="s">
        <v>23</v>
      </c>
      <c r="D35" s="3" t="s">
        <v>21</v>
      </c>
      <c r="E35" s="4" t="n">
        <v>1068</v>
      </c>
      <c r="F35" s="3" t="s">
        <v>15</v>
      </c>
      <c r="G35" s="3" t="s">
        <v>16</v>
      </c>
      <c r="H35" s="0" t="n">
        <v>4</v>
      </c>
      <c r="I35" s="0" t="str">
        <f aca="false">TEXT(B35,"dddd")</f>
        <v>Saturday</v>
      </c>
      <c r="J35" s="3" t="n">
        <f aca="false">WEEKNUM(B35,2)</f>
        <v>32</v>
      </c>
      <c r="K35" s="0" t="str">
        <f aca="false">C35&amp;" -&gt; "&amp;D35</f>
        <v>Model Town -&gt; Cantt</v>
      </c>
      <c r="L35" s="0" t="str">
        <f aca="false">IF(E35&lt;Params!$B$5,"Low",IF(E35&lt;=Params!$B$6,"Mid","High"))</f>
        <v>High</v>
      </c>
    </row>
    <row r="36" customFormat="false" ht="15" hidden="false" customHeight="false" outlineLevel="0" collapsed="false">
      <c r="A36" s="0" t="s">
        <v>63</v>
      </c>
      <c r="B36" s="2" t="n">
        <v>46249</v>
      </c>
      <c r="C36" s="3" t="s">
        <v>23</v>
      </c>
      <c r="D36" s="3" t="s">
        <v>13</v>
      </c>
      <c r="E36" s="4" t="n">
        <v>1057</v>
      </c>
      <c r="F36" s="3" t="s">
        <v>29</v>
      </c>
      <c r="G36" s="3" t="s">
        <v>16</v>
      </c>
      <c r="H36" s="0" t="n">
        <v>5</v>
      </c>
      <c r="I36" s="0" t="str">
        <f aca="false">TEXT(B36,"dddd")</f>
        <v>Saturday</v>
      </c>
      <c r="J36" s="3" t="n">
        <f aca="false">WEEKNUM(B36,2)</f>
        <v>33</v>
      </c>
      <c r="K36" s="0" t="str">
        <f aca="false">C36&amp;" -&gt; "&amp;D36</f>
        <v>Model Town -&gt; Gulberg</v>
      </c>
      <c r="L36" s="0" t="str">
        <f aca="false">IF(E36&lt;Params!$B$5,"Low",IF(E36&lt;=Params!$B$6,"Mid","High"))</f>
        <v>High</v>
      </c>
    </row>
    <row r="37" customFormat="false" ht="15" hidden="false" customHeight="false" outlineLevel="0" collapsed="false">
      <c r="A37" s="0" t="s">
        <v>64</v>
      </c>
      <c r="B37" s="2" t="n">
        <v>46252</v>
      </c>
      <c r="C37" s="3" t="s">
        <v>20</v>
      </c>
      <c r="D37" s="3" t="s">
        <v>13</v>
      </c>
      <c r="E37" s="4" t="n">
        <v>634</v>
      </c>
      <c r="F37" s="3" t="s">
        <v>15</v>
      </c>
      <c r="G37" s="3" t="s">
        <v>16</v>
      </c>
      <c r="H37" s="0" t="n">
        <v>4</v>
      </c>
      <c r="I37" s="0" t="str">
        <f aca="false">TEXT(B37,"dddd")</f>
        <v>Tuesday</v>
      </c>
      <c r="J37" s="3" t="n">
        <f aca="false">WEEKNUM(B37,2)</f>
        <v>34</v>
      </c>
      <c r="K37" s="0" t="str">
        <f aca="false">C37&amp;" -&gt; "&amp;D37</f>
        <v>Lahore -&gt; Gulberg</v>
      </c>
      <c r="L37" s="0" t="str">
        <f aca="false">IF(E37&lt;Params!$B$5,"Low",IF(E37&lt;=Params!$B$6,"Mid","High"))</f>
        <v>Mid</v>
      </c>
    </row>
    <row r="38" customFormat="false" ht="15" hidden="false" customHeight="false" outlineLevel="0" collapsed="false">
      <c r="A38" s="0" t="s">
        <v>65</v>
      </c>
      <c r="B38" s="2" t="n">
        <v>46241</v>
      </c>
      <c r="C38" s="3" t="s">
        <v>44</v>
      </c>
      <c r="D38" s="3" t="s">
        <v>14</v>
      </c>
      <c r="E38" s="4" t="n">
        <v>487</v>
      </c>
      <c r="F38" s="3" t="s">
        <v>24</v>
      </c>
      <c r="G38" s="3" t="s">
        <v>16</v>
      </c>
      <c r="H38" s="0" t="n">
        <v>4</v>
      </c>
      <c r="I38" s="0" t="str">
        <f aca="false">TEXT(B38,"dddd")</f>
        <v>Friday</v>
      </c>
      <c r="J38" s="3" t="n">
        <f aca="false">WEEKNUM(B38,2)</f>
        <v>32</v>
      </c>
      <c r="K38" s="0" t="str">
        <f aca="false">C38&amp;" -&gt; "&amp;D38</f>
        <v>Wapda Town -&gt; DHA</v>
      </c>
      <c r="L38" s="0" t="str">
        <f aca="false">IF(E38&lt;Params!$B$5,"Low",IF(E38&lt;=Params!$B$6,"Mid","High"))</f>
        <v>Low</v>
      </c>
    </row>
    <row r="39" customFormat="false" ht="15" hidden="false" customHeight="false" outlineLevel="0" collapsed="false">
      <c r="A39" s="0" t="s">
        <v>66</v>
      </c>
      <c r="B39" s="2" t="n">
        <v>46243</v>
      </c>
      <c r="C39" s="3" t="s">
        <v>40</v>
      </c>
      <c r="D39" s="3" t="s">
        <v>67</v>
      </c>
      <c r="E39" s="4" t="n">
        <v>1016</v>
      </c>
      <c r="F39" s="3" t="s">
        <v>29</v>
      </c>
      <c r="G39" s="3" t="s">
        <v>36</v>
      </c>
      <c r="I39" s="0" t="str">
        <f aca="false">TEXT(B39,"dddd")</f>
        <v>Sunday</v>
      </c>
      <c r="J39" s="3" t="n">
        <f aca="false">WEEKNUM(B39,2)</f>
        <v>32</v>
      </c>
      <c r="K39" s="0" t="str">
        <f aca="false">C39&amp;" -&gt; "&amp;D39</f>
        <v>Iqbal Town -&gt; Township</v>
      </c>
      <c r="L39" s="0" t="str">
        <f aca="false">IF(E39&lt;Params!$B$5,"Low",IF(E39&lt;=Params!$B$6,"Mid","High"))</f>
        <v>High</v>
      </c>
    </row>
    <row r="40" customFormat="false" ht="15" hidden="false" customHeight="false" outlineLevel="0" collapsed="false">
      <c r="A40" s="0" t="s">
        <v>68</v>
      </c>
      <c r="B40" s="2" t="n">
        <v>46260</v>
      </c>
      <c r="C40" s="3" t="s">
        <v>40</v>
      </c>
      <c r="D40" s="3" t="s">
        <v>23</v>
      </c>
      <c r="E40" s="4" t="n">
        <v>538</v>
      </c>
      <c r="F40" s="3" t="s">
        <v>24</v>
      </c>
      <c r="G40" s="3" t="s">
        <v>16</v>
      </c>
      <c r="H40" s="0" t="n">
        <v>3</v>
      </c>
      <c r="I40" s="0" t="str">
        <f aca="false">TEXT(B40,"dddd")</f>
        <v>Wednesday</v>
      </c>
      <c r="J40" s="3" t="n">
        <f aca="false">WEEKNUM(B40,2)</f>
        <v>35</v>
      </c>
      <c r="K40" s="0" t="str">
        <f aca="false">C40&amp;" -&gt; "&amp;D40</f>
        <v>Iqbal Town -&gt; Model Town</v>
      </c>
      <c r="L40" s="0" t="str">
        <f aca="false">IF(E40&lt;Params!$B$5,"Low",IF(E40&lt;=Params!$B$6,"Mid","High"))</f>
        <v>Low</v>
      </c>
    </row>
    <row r="41" customFormat="false" ht="15" hidden="false" customHeight="false" outlineLevel="0" collapsed="false">
      <c r="A41" s="0" t="s">
        <v>69</v>
      </c>
      <c r="B41" s="2" t="n">
        <v>46253</v>
      </c>
      <c r="C41" s="3" t="s">
        <v>20</v>
      </c>
      <c r="D41" s="3" t="s">
        <v>31</v>
      </c>
      <c r="E41" s="4" t="n">
        <v>267</v>
      </c>
      <c r="F41" s="3" t="s">
        <v>15</v>
      </c>
      <c r="G41" s="3" t="s">
        <v>16</v>
      </c>
      <c r="H41" s="0" t="n">
        <v>5</v>
      </c>
      <c r="I41" s="0" t="str">
        <f aca="false">TEXT(B41,"dddd")</f>
        <v>Wednesday</v>
      </c>
      <c r="J41" s="3" t="n">
        <f aca="false">WEEKNUM(B41,2)</f>
        <v>34</v>
      </c>
      <c r="K41" s="0" t="str">
        <f aca="false">C41&amp;" -&gt; "&amp;D41</f>
        <v>Lahore -&gt; Faisal Town</v>
      </c>
      <c r="L41" s="0" t="str">
        <f aca="false">IF(E41&lt;Params!$B$5,"Low",IF(E41&lt;=Params!$B$6,"Mid","High"))</f>
        <v>Low</v>
      </c>
    </row>
    <row r="42" customFormat="false" ht="15" hidden="false" customHeight="false" outlineLevel="0" collapsed="false">
      <c r="A42" s="0" t="s">
        <v>70</v>
      </c>
      <c r="B42" s="2" t="n">
        <v>46264</v>
      </c>
      <c r="C42" s="3" t="s">
        <v>14</v>
      </c>
      <c r="D42" s="3" t="s">
        <v>14</v>
      </c>
      <c r="E42" s="4" t="n">
        <v>1190</v>
      </c>
      <c r="F42" s="3" t="s">
        <v>15</v>
      </c>
      <c r="G42" s="3" t="s">
        <v>36</v>
      </c>
      <c r="I42" s="0" t="str">
        <f aca="false">TEXT(B42,"dddd")</f>
        <v>Sunday</v>
      </c>
      <c r="J42" s="3" t="n">
        <f aca="false">WEEKNUM(B42,2)</f>
        <v>35</v>
      </c>
      <c r="K42" s="0" t="str">
        <f aca="false">C42&amp;" -&gt; "&amp;D42</f>
        <v>DHA -&gt; DHA</v>
      </c>
      <c r="L42" s="0" t="str">
        <f aca="false">IF(E42&lt;Params!$B$5,"Low",IF(E42&lt;=Params!$B$6,"Mid","High"))</f>
        <v>High</v>
      </c>
    </row>
    <row r="43" customFormat="false" ht="15" hidden="false" customHeight="false" outlineLevel="0" collapsed="false">
      <c r="A43" s="0" t="s">
        <v>71</v>
      </c>
      <c r="B43" s="2" t="n">
        <v>46237</v>
      </c>
      <c r="C43" s="3" t="s">
        <v>13</v>
      </c>
      <c r="D43" s="3" t="s">
        <v>21</v>
      </c>
      <c r="E43" s="4" t="n">
        <v>976</v>
      </c>
      <c r="F43" s="3" t="s">
        <v>15</v>
      </c>
      <c r="G43" s="3" t="s">
        <v>36</v>
      </c>
      <c r="I43" s="0" t="str">
        <f aca="false">TEXT(B43,"dddd")</f>
        <v>Monday</v>
      </c>
      <c r="J43" s="3" t="n">
        <f aca="false">WEEKNUM(B43,2)</f>
        <v>32</v>
      </c>
      <c r="K43" s="0" t="str">
        <f aca="false">C43&amp;" -&gt; "&amp;D43</f>
        <v>Gulberg -&gt; Cantt</v>
      </c>
      <c r="L43" s="0" t="str">
        <f aca="false">IF(E43&lt;Params!$B$5,"Low",IF(E43&lt;=Params!$B$6,"Mid","High"))</f>
        <v>High</v>
      </c>
    </row>
    <row r="44" customFormat="false" ht="15" hidden="false" customHeight="false" outlineLevel="0" collapsed="false">
      <c r="A44" s="0" t="s">
        <v>72</v>
      </c>
      <c r="B44" s="2" t="n">
        <v>46253</v>
      </c>
      <c r="C44" s="3" t="s">
        <v>23</v>
      </c>
      <c r="D44" s="3" t="s">
        <v>14</v>
      </c>
      <c r="E44" s="4" t="n">
        <v>317</v>
      </c>
      <c r="F44" s="3" t="s">
        <v>24</v>
      </c>
      <c r="G44" s="3" t="s">
        <v>16</v>
      </c>
      <c r="H44" s="0" t="n">
        <v>5</v>
      </c>
      <c r="I44" s="0" t="str">
        <f aca="false">TEXT(B44,"dddd")</f>
        <v>Wednesday</v>
      </c>
      <c r="J44" s="3" t="n">
        <f aca="false">WEEKNUM(B44,2)</f>
        <v>34</v>
      </c>
      <c r="K44" s="0" t="str">
        <f aca="false">C44&amp;" -&gt; "&amp;D44</f>
        <v>Model Town -&gt; DHA</v>
      </c>
      <c r="L44" s="0" t="str">
        <f aca="false">IF(E44&lt;Params!$B$5,"Low",IF(E44&lt;=Params!$B$6,"Mid","High"))</f>
        <v>Low</v>
      </c>
    </row>
    <row r="45" customFormat="false" ht="15" hidden="false" customHeight="false" outlineLevel="0" collapsed="false">
      <c r="A45" s="0" t="s">
        <v>73</v>
      </c>
      <c r="B45" s="2" t="n">
        <v>46251</v>
      </c>
      <c r="C45" s="3" t="s">
        <v>26</v>
      </c>
      <c r="D45" s="3" t="s">
        <v>67</v>
      </c>
      <c r="E45" s="4" t="n">
        <v>568</v>
      </c>
      <c r="F45" s="3" t="s">
        <v>29</v>
      </c>
      <c r="G45" s="3" t="s">
        <v>16</v>
      </c>
      <c r="H45" s="0" t="n">
        <v>3</v>
      </c>
      <c r="I45" s="0" t="str">
        <f aca="false">TEXT(B45,"dddd")</f>
        <v>Monday</v>
      </c>
      <c r="J45" s="3" t="n">
        <f aca="false">WEEKNUM(B45,2)</f>
        <v>34</v>
      </c>
      <c r="K45" s="0" t="str">
        <f aca="false">C45&amp;" -&gt; "&amp;D45</f>
        <v>Bahria Town -&gt; Township</v>
      </c>
      <c r="L45" s="0" t="str">
        <f aca="false">IF(E45&lt;Params!$B$5,"Low",IF(E45&lt;=Params!$B$6,"Mid","High"))</f>
        <v>Mid</v>
      </c>
    </row>
    <row r="46" customFormat="false" ht="15" hidden="false" customHeight="false" outlineLevel="0" collapsed="false">
      <c r="A46" s="0" t="s">
        <v>74</v>
      </c>
      <c r="B46" s="2" t="n">
        <v>46243</v>
      </c>
      <c r="C46" s="3" t="s">
        <v>44</v>
      </c>
      <c r="D46" s="3" t="s">
        <v>23</v>
      </c>
      <c r="E46" s="4" t="n">
        <v>764</v>
      </c>
      <c r="F46" s="3" t="s">
        <v>24</v>
      </c>
      <c r="G46" s="3" t="s">
        <v>16</v>
      </c>
      <c r="H46" s="0" t="n">
        <v>3</v>
      </c>
      <c r="I46" s="0" t="str">
        <f aca="false">TEXT(B46,"dddd")</f>
        <v>Sunday</v>
      </c>
      <c r="J46" s="3" t="n">
        <f aca="false">WEEKNUM(B46,2)</f>
        <v>32</v>
      </c>
      <c r="K46" s="0" t="str">
        <f aca="false">C46&amp;" -&gt; "&amp;D46</f>
        <v>Wapda Town -&gt; Model Town</v>
      </c>
      <c r="L46" s="0" t="str">
        <f aca="false">IF(E46&lt;Params!$B$5,"Low",IF(E46&lt;=Params!$B$6,"Mid","High"))</f>
        <v>Mid</v>
      </c>
    </row>
    <row r="47" customFormat="false" ht="15" hidden="false" customHeight="false" outlineLevel="0" collapsed="false">
      <c r="A47" s="0" t="s">
        <v>75</v>
      </c>
      <c r="B47" s="2" t="n">
        <v>46235</v>
      </c>
      <c r="C47" s="3" t="s">
        <v>40</v>
      </c>
      <c r="D47" s="3" t="s">
        <v>13</v>
      </c>
      <c r="E47" s="4" t="n">
        <v>300</v>
      </c>
      <c r="F47" s="3" t="s">
        <v>29</v>
      </c>
      <c r="G47" s="3" t="s">
        <v>16</v>
      </c>
      <c r="H47" s="0" t="n">
        <v>4</v>
      </c>
      <c r="I47" s="0" t="str">
        <f aca="false">TEXT(B47,"dddd")</f>
        <v>Saturday</v>
      </c>
      <c r="J47" s="3" t="n">
        <f aca="false">WEEKNUM(B47,2)</f>
        <v>31</v>
      </c>
      <c r="K47" s="0" t="str">
        <f aca="false">C47&amp;" -&gt; "&amp;D47</f>
        <v>Iqbal Town -&gt; Gulberg</v>
      </c>
      <c r="L47" s="0" t="str">
        <f aca="false">IF(E47&lt;Params!$B$5,"Low",IF(E47&lt;=Params!$B$6,"Mid","High"))</f>
        <v>Low</v>
      </c>
    </row>
    <row r="48" customFormat="false" ht="15" hidden="false" customHeight="false" outlineLevel="0" collapsed="false">
      <c r="A48" s="0" t="s">
        <v>76</v>
      </c>
      <c r="B48" s="2" t="n">
        <v>46239</v>
      </c>
      <c r="C48" s="3" t="s">
        <v>26</v>
      </c>
      <c r="D48" s="3" t="s">
        <v>13</v>
      </c>
      <c r="E48" s="4" t="n">
        <v>650</v>
      </c>
      <c r="F48" s="3" t="s">
        <v>24</v>
      </c>
      <c r="G48" s="3" t="s">
        <v>16</v>
      </c>
      <c r="H48" s="0" t="n">
        <v>4</v>
      </c>
      <c r="I48" s="0" t="str">
        <f aca="false">TEXT(B48,"dddd")</f>
        <v>Wednesday</v>
      </c>
      <c r="J48" s="3" t="n">
        <f aca="false">WEEKNUM(B48,2)</f>
        <v>32</v>
      </c>
      <c r="K48" s="0" t="str">
        <f aca="false">C48&amp;" -&gt; "&amp;D48</f>
        <v>Bahria Town -&gt; Gulberg</v>
      </c>
      <c r="L48" s="0" t="str">
        <f aca="false">IF(E48&lt;Params!$B$5,"Low",IF(E48&lt;=Params!$B$6,"Mid","High"))</f>
        <v>Mid</v>
      </c>
    </row>
    <row r="49" customFormat="false" ht="15" hidden="false" customHeight="false" outlineLevel="0" collapsed="false">
      <c r="A49" s="0" t="s">
        <v>77</v>
      </c>
      <c r="B49" s="2" t="n">
        <v>46261</v>
      </c>
      <c r="C49" s="3" t="s">
        <v>28</v>
      </c>
      <c r="D49" s="3" t="s">
        <v>14</v>
      </c>
      <c r="E49" s="4" t="n">
        <v>763</v>
      </c>
      <c r="F49" s="3" t="s">
        <v>29</v>
      </c>
      <c r="G49" s="3" t="s">
        <v>16</v>
      </c>
      <c r="H49" s="0" t="n">
        <v>3</v>
      </c>
      <c r="I49" s="0" t="str">
        <f aca="false">TEXT(B49,"dddd")</f>
        <v>Thursday</v>
      </c>
      <c r="J49" s="3" t="n">
        <f aca="false">WEEKNUM(B49,2)</f>
        <v>35</v>
      </c>
      <c r="K49" s="0" t="str">
        <f aca="false">C49&amp;" -&gt; "&amp;D49</f>
        <v>Johar Town -&gt; DHA</v>
      </c>
      <c r="L49" s="0" t="str">
        <f aca="false">IF(E49&lt;Params!$B$5,"Low",IF(E49&lt;=Params!$B$6,"Mid","High"))</f>
        <v>Mid</v>
      </c>
    </row>
    <row r="50" customFormat="false" ht="15" hidden="false" customHeight="false" outlineLevel="0" collapsed="false">
      <c r="A50" s="0" t="s">
        <v>78</v>
      </c>
      <c r="B50" s="2" t="n">
        <v>46243</v>
      </c>
      <c r="C50" s="3" t="s">
        <v>13</v>
      </c>
      <c r="D50" s="3" t="s">
        <v>13</v>
      </c>
      <c r="E50" s="4" t="n">
        <v>468</v>
      </c>
      <c r="F50" s="3" t="s">
        <v>24</v>
      </c>
      <c r="G50" s="3" t="s">
        <v>16</v>
      </c>
      <c r="H50" s="0" t="n">
        <v>3</v>
      </c>
      <c r="I50" s="0" t="str">
        <f aca="false">TEXT(B50,"dddd")</f>
        <v>Sunday</v>
      </c>
      <c r="J50" s="3" t="n">
        <f aca="false">WEEKNUM(B50,2)</f>
        <v>32</v>
      </c>
      <c r="K50" s="0" t="str">
        <f aca="false">C50&amp;" -&gt; "&amp;D50</f>
        <v>Gulberg -&gt; Gulberg</v>
      </c>
      <c r="L50" s="0" t="str">
        <f aca="false">IF(E50&lt;Params!$B$5,"Low",IF(E50&lt;=Params!$B$6,"Mid","High"))</f>
        <v>Low</v>
      </c>
    </row>
    <row r="51" customFormat="false" ht="15" hidden="false" customHeight="false" outlineLevel="0" collapsed="false">
      <c r="A51" s="0" t="s">
        <v>79</v>
      </c>
      <c r="B51" s="2" t="n">
        <v>46257</v>
      </c>
      <c r="C51" s="3" t="s">
        <v>26</v>
      </c>
      <c r="D51" s="3" t="s">
        <v>21</v>
      </c>
      <c r="E51" s="4" t="n">
        <v>690</v>
      </c>
      <c r="F51" s="3" t="s">
        <v>29</v>
      </c>
      <c r="G51" s="3" t="s">
        <v>16</v>
      </c>
      <c r="H51" s="0" t="n">
        <v>3</v>
      </c>
      <c r="I51" s="0" t="str">
        <f aca="false">TEXT(B51,"dddd")</f>
        <v>Sunday</v>
      </c>
      <c r="J51" s="3" t="n">
        <f aca="false">WEEKNUM(B51,2)</f>
        <v>34</v>
      </c>
      <c r="K51" s="0" t="str">
        <f aca="false">C51&amp;" -&gt; "&amp;D51</f>
        <v>Bahria Town -&gt; Cantt</v>
      </c>
      <c r="L51" s="0" t="str">
        <f aca="false">IF(E51&lt;Params!$B$5,"Low",IF(E51&lt;=Params!$B$6,"Mid","High"))</f>
        <v>Mid</v>
      </c>
    </row>
    <row r="52" customFormat="false" ht="15" hidden="false" customHeight="false" outlineLevel="0" collapsed="false">
      <c r="A52" s="0" t="s">
        <v>80</v>
      </c>
      <c r="B52" s="2" t="n">
        <v>46237</v>
      </c>
      <c r="C52" s="3" t="s">
        <v>44</v>
      </c>
      <c r="D52" s="3" t="s">
        <v>67</v>
      </c>
      <c r="E52" s="4" t="n">
        <v>240</v>
      </c>
      <c r="F52" s="3" t="s">
        <v>15</v>
      </c>
      <c r="G52" s="3" t="s">
        <v>16</v>
      </c>
      <c r="H52" s="0" t="n">
        <v>3</v>
      </c>
      <c r="I52" s="0" t="str">
        <f aca="false">TEXT(B52,"dddd")</f>
        <v>Monday</v>
      </c>
      <c r="J52" s="3" t="n">
        <f aca="false">WEEKNUM(B52,2)</f>
        <v>32</v>
      </c>
      <c r="K52" s="0" t="str">
        <f aca="false">C52&amp;" -&gt; "&amp;D52</f>
        <v>Wapda Town -&gt; Township</v>
      </c>
      <c r="L52" s="0" t="str">
        <f aca="false">IF(E52&lt;Params!$B$5,"Low",IF(E52&lt;=Params!$B$6,"Mid","High"))</f>
        <v>Low</v>
      </c>
    </row>
    <row r="53" customFormat="false" ht="15" hidden="false" customHeight="false" outlineLevel="0" collapsed="false">
      <c r="A53" s="0" t="s">
        <v>81</v>
      </c>
      <c r="B53" s="2" t="n">
        <v>46255</v>
      </c>
      <c r="C53" s="3" t="s">
        <v>28</v>
      </c>
      <c r="D53" s="3" t="s">
        <v>23</v>
      </c>
      <c r="E53" s="4" t="n">
        <v>1054</v>
      </c>
      <c r="F53" s="3" t="s">
        <v>29</v>
      </c>
      <c r="G53" s="3" t="s">
        <v>16</v>
      </c>
      <c r="H53" s="0" t="n">
        <v>5</v>
      </c>
      <c r="I53" s="0" t="str">
        <f aca="false">TEXT(B53,"dddd")</f>
        <v>Friday</v>
      </c>
      <c r="J53" s="3" t="n">
        <f aca="false">WEEKNUM(B53,2)</f>
        <v>34</v>
      </c>
      <c r="K53" s="0" t="str">
        <f aca="false">C53&amp;" -&gt; "&amp;D53</f>
        <v>Johar Town -&gt; Model Town</v>
      </c>
      <c r="L53" s="0" t="str">
        <f aca="false">IF(E53&lt;Params!$B$5,"Low",IF(E53&lt;=Params!$B$6,"Mid","High"))</f>
        <v>High</v>
      </c>
    </row>
    <row r="54" customFormat="false" ht="15" hidden="false" customHeight="false" outlineLevel="0" collapsed="false">
      <c r="A54" s="0" t="s">
        <v>82</v>
      </c>
      <c r="B54" s="2" t="n">
        <v>46235</v>
      </c>
      <c r="C54" s="3" t="s">
        <v>13</v>
      </c>
      <c r="D54" s="3" t="s">
        <v>13</v>
      </c>
      <c r="E54" s="4" t="n">
        <v>455</v>
      </c>
      <c r="F54" s="3" t="s">
        <v>29</v>
      </c>
      <c r="G54" s="3" t="s">
        <v>16</v>
      </c>
      <c r="H54" s="0" t="n">
        <v>4</v>
      </c>
      <c r="I54" s="0" t="str">
        <f aca="false">TEXT(B54,"dddd")</f>
        <v>Saturday</v>
      </c>
      <c r="J54" s="3" t="n">
        <f aca="false">WEEKNUM(B54,2)</f>
        <v>31</v>
      </c>
      <c r="K54" s="0" t="str">
        <f aca="false">C54&amp;" -&gt; "&amp;D54</f>
        <v>Gulberg -&gt; Gulberg</v>
      </c>
      <c r="L54" s="0" t="str">
        <f aca="false">IF(E54&lt;Params!$B$5,"Low",IF(E54&lt;=Params!$B$6,"Mid","High"))</f>
        <v>Low</v>
      </c>
    </row>
    <row r="55" customFormat="false" ht="15" hidden="false" customHeight="false" outlineLevel="0" collapsed="false">
      <c r="A55" s="0" t="s">
        <v>83</v>
      </c>
      <c r="B55" s="2" t="n">
        <v>46253</v>
      </c>
      <c r="C55" s="3" t="s">
        <v>14</v>
      </c>
      <c r="D55" s="3" t="s">
        <v>18</v>
      </c>
      <c r="E55" s="4" t="n">
        <v>411</v>
      </c>
      <c r="F55" s="3" t="s">
        <v>15</v>
      </c>
      <c r="G55" s="3" t="s">
        <v>16</v>
      </c>
      <c r="H55" s="0" t="n">
        <v>3</v>
      </c>
      <c r="I55" s="0" t="str">
        <f aca="false">TEXT(B55,"dddd")</f>
        <v>Wednesday</v>
      </c>
      <c r="J55" s="3" t="n">
        <f aca="false">WEEKNUM(B55,2)</f>
        <v>34</v>
      </c>
      <c r="K55" s="0" t="str">
        <f aca="false">C55&amp;" -&gt; "&amp;D55</f>
        <v>DHA -&gt; Askari</v>
      </c>
      <c r="L55" s="0" t="str">
        <f aca="false">IF(E55&lt;Params!$B$5,"Low",IF(E55&lt;=Params!$B$6,"Mid","High"))</f>
        <v>Low</v>
      </c>
    </row>
    <row r="56" customFormat="false" ht="15" hidden="false" customHeight="false" outlineLevel="0" collapsed="false">
      <c r="A56" s="0" t="s">
        <v>84</v>
      </c>
      <c r="B56" s="2" t="n">
        <v>46263</v>
      </c>
      <c r="C56" s="3" t="s">
        <v>26</v>
      </c>
      <c r="D56" s="3" t="s">
        <v>21</v>
      </c>
      <c r="E56" s="4" t="n">
        <v>661</v>
      </c>
      <c r="F56" s="3" t="s">
        <v>29</v>
      </c>
      <c r="G56" s="3" t="s">
        <v>16</v>
      </c>
      <c r="H56" s="0" t="n">
        <v>5</v>
      </c>
      <c r="I56" s="0" t="str">
        <f aca="false">TEXT(B56,"dddd")</f>
        <v>Saturday</v>
      </c>
      <c r="J56" s="3" t="n">
        <f aca="false">WEEKNUM(B56,2)</f>
        <v>35</v>
      </c>
      <c r="K56" s="0" t="str">
        <f aca="false">C56&amp;" -&gt; "&amp;D56</f>
        <v>Bahria Town -&gt; Cantt</v>
      </c>
      <c r="L56" s="0" t="str">
        <f aca="false">IF(E56&lt;Params!$B$5,"Low",IF(E56&lt;=Params!$B$6,"Mid","High"))</f>
        <v>Mid</v>
      </c>
    </row>
    <row r="57" customFormat="false" ht="15" hidden="false" customHeight="false" outlineLevel="0" collapsed="false">
      <c r="A57" s="0" t="s">
        <v>85</v>
      </c>
      <c r="B57" s="2" t="n">
        <v>46263</v>
      </c>
      <c r="C57" s="3" t="s">
        <v>44</v>
      </c>
      <c r="D57" s="3" t="s">
        <v>23</v>
      </c>
      <c r="E57" s="4" t="n">
        <v>634</v>
      </c>
      <c r="F57" s="3" t="s">
        <v>15</v>
      </c>
      <c r="G57" s="3" t="s">
        <v>36</v>
      </c>
      <c r="I57" s="0" t="str">
        <f aca="false">TEXT(B57,"dddd")</f>
        <v>Saturday</v>
      </c>
      <c r="J57" s="3" t="n">
        <f aca="false">WEEKNUM(B57,2)</f>
        <v>35</v>
      </c>
      <c r="K57" s="0" t="str">
        <f aca="false">C57&amp;" -&gt; "&amp;D57</f>
        <v>Wapda Town -&gt; Model Town</v>
      </c>
      <c r="L57" s="0" t="str">
        <f aca="false">IF(E57&lt;Params!$B$5,"Low",IF(E57&lt;=Params!$B$6,"Mid","High"))</f>
        <v>Mid</v>
      </c>
    </row>
    <row r="58" customFormat="false" ht="15" hidden="false" customHeight="false" outlineLevel="0" collapsed="false">
      <c r="A58" s="0" t="s">
        <v>86</v>
      </c>
      <c r="B58" s="2" t="n">
        <v>46260</v>
      </c>
      <c r="C58" s="3" t="s">
        <v>14</v>
      </c>
      <c r="D58" s="3" t="s">
        <v>18</v>
      </c>
      <c r="E58" s="4" t="n">
        <v>200</v>
      </c>
      <c r="F58" s="3" t="s">
        <v>15</v>
      </c>
      <c r="G58" s="3" t="s">
        <v>16</v>
      </c>
      <c r="H58" s="0" t="n">
        <v>4</v>
      </c>
      <c r="I58" s="0" t="str">
        <f aca="false">TEXT(B58,"dddd")</f>
        <v>Wednesday</v>
      </c>
      <c r="J58" s="3" t="n">
        <f aca="false">WEEKNUM(B58,2)</f>
        <v>35</v>
      </c>
      <c r="K58" s="0" t="str">
        <f aca="false">C58&amp;" -&gt; "&amp;D58</f>
        <v>DHA -&gt; Askari</v>
      </c>
      <c r="L58" s="0" t="str">
        <f aca="false">IF(E58&lt;Params!$B$5,"Low",IF(E58&lt;=Params!$B$6,"Mid","High"))</f>
        <v>Low</v>
      </c>
    </row>
    <row r="59" customFormat="false" ht="15" hidden="false" customHeight="false" outlineLevel="0" collapsed="false">
      <c r="A59" s="0" t="s">
        <v>87</v>
      </c>
      <c r="B59" s="2" t="n">
        <v>46260</v>
      </c>
      <c r="C59" s="3" t="s">
        <v>44</v>
      </c>
      <c r="D59" s="3" t="s">
        <v>21</v>
      </c>
      <c r="E59" s="4" t="n">
        <v>696</v>
      </c>
      <c r="F59" s="3" t="s">
        <v>15</v>
      </c>
      <c r="G59" s="3" t="s">
        <v>16</v>
      </c>
      <c r="H59" s="0" t="n">
        <v>3</v>
      </c>
      <c r="I59" s="0" t="str">
        <f aca="false">TEXT(B59,"dddd")</f>
        <v>Wednesday</v>
      </c>
      <c r="J59" s="3" t="n">
        <f aca="false">WEEKNUM(B59,2)</f>
        <v>35</v>
      </c>
      <c r="K59" s="0" t="str">
        <f aca="false">C59&amp;" -&gt; "&amp;D59</f>
        <v>Wapda Town -&gt; Cantt</v>
      </c>
      <c r="L59" s="0" t="str">
        <f aca="false">IF(E59&lt;Params!$B$5,"Low",IF(E59&lt;=Params!$B$6,"Mid","High"))</f>
        <v>Mid</v>
      </c>
    </row>
    <row r="60" customFormat="false" ht="15" hidden="false" customHeight="false" outlineLevel="0" collapsed="false">
      <c r="A60" s="0" t="s">
        <v>88</v>
      </c>
      <c r="B60" s="2" t="n">
        <v>46247</v>
      </c>
      <c r="C60" s="3" t="s">
        <v>20</v>
      </c>
      <c r="D60" s="3" t="s">
        <v>52</v>
      </c>
      <c r="E60" s="4" t="n">
        <v>605</v>
      </c>
      <c r="F60" s="3" t="s">
        <v>15</v>
      </c>
      <c r="G60" s="3" t="s">
        <v>16</v>
      </c>
      <c r="H60" s="0" t="n">
        <v>4</v>
      </c>
      <c r="I60" s="0" t="str">
        <f aca="false">TEXT(B60,"dddd")</f>
        <v>Thursday</v>
      </c>
      <c r="J60" s="3" t="n">
        <f aca="false">WEEKNUM(B60,2)</f>
        <v>33</v>
      </c>
      <c r="K60" s="0" t="str">
        <f aca="false">C60&amp;" -&gt; "&amp;D60</f>
        <v>Lahore -&gt; Airport</v>
      </c>
      <c r="L60" s="0" t="str">
        <f aca="false">IF(E60&lt;Params!$B$5,"Low",IF(E60&lt;=Params!$B$6,"Mid","High"))</f>
        <v>Mid</v>
      </c>
    </row>
    <row r="61" customFormat="false" ht="15" hidden="false" customHeight="false" outlineLevel="0" collapsed="false">
      <c r="A61" s="0" t="s">
        <v>89</v>
      </c>
      <c r="B61" s="2" t="n">
        <v>46246</v>
      </c>
      <c r="C61" s="3" t="s">
        <v>28</v>
      </c>
      <c r="D61" s="3" t="s">
        <v>21</v>
      </c>
      <c r="E61" s="4" t="n">
        <v>606</v>
      </c>
      <c r="F61" s="3" t="s">
        <v>15</v>
      </c>
      <c r="G61" s="3" t="s">
        <v>16</v>
      </c>
      <c r="H61" s="0" t="n">
        <v>4</v>
      </c>
      <c r="I61" s="0" t="str">
        <f aca="false">TEXT(B61,"dddd")</f>
        <v>Wednesday</v>
      </c>
      <c r="J61" s="3" t="n">
        <f aca="false">WEEKNUM(B61,2)</f>
        <v>33</v>
      </c>
      <c r="K61" s="0" t="str">
        <f aca="false">C61&amp;" -&gt; "&amp;D61</f>
        <v>Johar Town -&gt; Cantt</v>
      </c>
      <c r="L61" s="0" t="str">
        <f aca="false">IF(E61&lt;Params!$B$5,"Low",IF(E61&lt;=Params!$B$6,"Mid","High"))</f>
        <v>Mid</v>
      </c>
    </row>
    <row r="62" customFormat="false" ht="15" hidden="false" customHeight="false" outlineLevel="0" collapsed="false">
      <c r="A62" s="0" t="s">
        <v>90</v>
      </c>
      <c r="B62" s="2" t="n">
        <v>46245</v>
      </c>
      <c r="C62" s="3" t="s">
        <v>28</v>
      </c>
      <c r="D62" s="3" t="s">
        <v>13</v>
      </c>
      <c r="E62" s="4" t="n">
        <v>721</v>
      </c>
      <c r="F62" s="3" t="s">
        <v>24</v>
      </c>
      <c r="G62" s="3" t="s">
        <v>16</v>
      </c>
      <c r="H62" s="0" t="n">
        <v>4</v>
      </c>
      <c r="I62" s="0" t="str">
        <f aca="false">TEXT(B62,"dddd")</f>
        <v>Tuesday</v>
      </c>
      <c r="J62" s="3" t="n">
        <f aca="false">WEEKNUM(B62,2)</f>
        <v>33</v>
      </c>
      <c r="K62" s="0" t="str">
        <f aca="false">C62&amp;" -&gt; "&amp;D62</f>
        <v>Johar Town -&gt; Gulberg</v>
      </c>
      <c r="L62" s="0" t="str">
        <f aca="false">IF(E62&lt;Params!$B$5,"Low",IF(E62&lt;=Params!$B$6,"Mid","High"))</f>
        <v>Mid</v>
      </c>
    </row>
    <row r="63" customFormat="false" ht="15" hidden="false" customHeight="false" outlineLevel="0" collapsed="false">
      <c r="A63" s="0" t="s">
        <v>91</v>
      </c>
      <c r="B63" s="2" t="n">
        <v>46256</v>
      </c>
      <c r="C63" s="3" t="s">
        <v>26</v>
      </c>
      <c r="D63" s="3" t="s">
        <v>14</v>
      </c>
      <c r="E63" s="4" t="n">
        <v>386</v>
      </c>
      <c r="F63" s="3" t="s">
        <v>24</v>
      </c>
      <c r="G63" s="3" t="s">
        <v>16</v>
      </c>
      <c r="H63" s="0" t="n">
        <v>4</v>
      </c>
      <c r="I63" s="0" t="str">
        <f aca="false">TEXT(B63,"dddd")</f>
        <v>Saturday</v>
      </c>
      <c r="J63" s="3" t="n">
        <f aca="false">WEEKNUM(B63,2)</f>
        <v>34</v>
      </c>
      <c r="K63" s="0" t="str">
        <f aca="false">C63&amp;" -&gt; "&amp;D63</f>
        <v>Bahria Town -&gt; DHA</v>
      </c>
      <c r="L63" s="0" t="str">
        <f aca="false">IF(E63&lt;Params!$B$5,"Low",IF(E63&lt;=Params!$B$6,"Mid","High"))</f>
        <v>Low</v>
      </c>
    </row>
    <row r="64" customFormat="false" ht="15" hidden="false" customHeight="false" outlineLevel="0" collapsed="false">
      <c r="A64" s="0" t="s">
        <v>92</v>
      </c>
      <c r="B64" s="2" t="n">
        <v>46236</v>
      </c>
      <c r="C64" s="3" t="s">
        <v>13</v>
      </c>
      <c r="D64" s="3" t="s">
        <v>18</v>
      </c>
      <c r="E64" s="4" t="n">
        <v>857</v>
      </c>
      <c r="F64" s="3" t="s">
        <v>29</v>
      </c>
      <c r="G64" s="3" t="s">
        <v>16</v>
      </c>
      <c r="H64" s="0" t="n">
        <v>4</v>
      </c>
      <c r="I64" s="0" t="str">
        <f aca="false">TEXT(B64,"dddd")</f>
        <v>Sunday</v>
      </c>
      <c r="J64" s="3" t="n">
        <f aca="false">WEEKNUM(B64,2)</f>
        <v>31</v>
      </c>
      <c r="K64" s="0" t="str">
        <f aca="false">C64&amp;" -&gt; "&amp;D64</f>
        <v>Gulberg -&gt; Askari</v>
      </c>
      <c r="L64" s="0" t="str">
        <f aca="false">IF(E64&lt;Params!$B$5,"Low",IF(E64&lt;=Params!$B$6,"Mid","High"))</f>
        <v>High</v>
      </c>
    </row>
    <row r="65" customFormat="false" ht="15" hidden="false" customHeight="false" outlineLevel="0" collapsed="false">
      <c r="A65" s="0" t="s">
        <v>93</v>
      </c>
      <c r="B65" s="2" t="n">
        <v>46254</v>
      </c>
      <c r="C65" s="3" t="s">
        <v>13</v>
      </c>
      <c r="D65" s="3" t="s">
        <v>18</v>
      </c>
      <c r="E65" s="4" t="n">
        <v>539</v>
      </c>
      <c r="F65" s="3" t="s">
        <v>24</v>
      </c>
      <c r="G65" s="3" t="s">
        <v>16</v>
      </c>
      <c r="H65" s="0" t="n">
        <v>4</v>
      </c>
      <c r="I65" s="0" t="str">
        <f aca="false">TEXT(B65,"dddd")</f>
        <v>Thursday</v>
      </c>
      <c r="J65" s="3" t="n">
        <f aca="false">WEEKNUM(B65,2)</f>
        <v>34</v>
      </c>
      <c r="K65" s="0" t="str">
        <f aca="false">C65&amp;" -&gt; "&amp;D65</f>
        <v>Gulberg -&gt; Askari</v>
      </c>
      <c r="L65" s="0" t="str">
        <f aca="false">IF(E65&lt;Params!$B$5,"Low",IF(E65&lt;=Params!$B$6,"Mid","High"))</f>
        <v>Low</v>
      </c>
    </row>
    <row r="66" customFormat="false" ht="15" hidden="false" customHeight="false" outlineLevel="0" collapsed="false">
      <c r="A66" s="0" t="s">
        <v>94</v>
      </c>
      <c r="B66" s="2" t="n">
        <v>46235</v>
      </c>
      <c r="C66" s="3" t="s">
        <v>23</v>
      </c>
      <c r="D66" s="3" t="s">
        <v>31</v>
      </c>
      <c r="E66" s="4" t="n">
        <v>1033</v>
      </c>
      <c r="F66" s="3" t="s">
        <v>15</v>
      </c>
      <c r="G66" s="3" t="s">
        <v>36</v>
      </c>
      <c r="I66" s="0" t="str">
        <f aca="false">TEXT(B66,"dddd")</f>
        <v>Saturday</v>
      </c>
      <c r="J66" s="3" t="n">
        <f aca="false">WEEKNUM(B66,2)</f>
        <v>31</v>
      </c>
      <c r="K66" s="0" t="str">
        <f aca="false">C66&amp;" -&gt; "&amp;D66</f>
        <v>Model Town -&gt; Faisal Town</v>
      </c>
      <c r="L66" s="0" t="str">
        <f aca="false">IF(E66&lt;Params!$B$5,"Low",IF(E66&lt;=Params!$B$6,"Mid","High"))</f>
        <v>High</v>
      </c>
    </row>
    <row r="67" customFormat="false" ht="15" hidden="false" customHeight="false" outlineLevel="0" collapsed="false">
      <c r="A67" s="0" t="s">
        <v>95</v>
      </c>
      <c r="B67" s="2" t="n">
        <v>46264</v>
      </c>
      <c r="C67" s="3" t="s">
        <v>26</v>
      </c>
      <c r="D67" s="3" t="s">
        <v>31</v>
      </c>
      <c r="E67" s="4" t="n">
        <v>405</v>
      </c>
      <c r="F67" s="3" t="s">
        <v>29</v>
      </c>
      <c r="G67" s="3" t="s">
        <v>36</v>
      </c>
      <c r="I67" s="0" t="str">
        <f aca="false">TEXT(B67,"dddd")</f>
        <v>Sunday</v>
      </c>
      <c r="J67" s="3" t="n">
        <f aca="false">WEEKNUM(B67,2)</f>
        <v>35</v>
      </c>
      <c r="K67" s="0" t="str">
        <f aca="false">C67&amp;" -&gt; "&amp;D67</f>
        <v>Bahria Town -&gt; Faisal Town</v>
      </c>
      <c r="L67" s="0" t="str">
        <f aca="false">IF(E67&lt;Params!$B$5,"Low",IF(E67&lt;=Params!$B$6,"Mid","High"))</f>
        <v>Low</v>
      </c>
    </row>
    <row r="68" customFormat="false" ht="15" hidden="false" customHeight="false" outlineLevel="0" collapsed="false">
      <c r="A68" s="0" t="s">
        <v>96</v>
      </c>
      <c r="B68" s="2" t="n">
        <v>46251</v>
      </c>
      <c r="C68" s="3" t="s">
        <v>28</v>
      </c>
      <c r="D68" s="3" t="s">
        <v>18</v>
      </c>
      <c r="E68" s="4" t="n">
        <v>818</v>
      </c>
      <c r="F68" s="3" t="s">
        <v>24</v>
      </c>
      <c r="G68" s="3" t="s">
        <v>16</v>
      </c>
      <c r="H68" s="0" t="n">
        <v>5</v>
      </c>
      <c r="I68" s="0" t="str">
        <f aca="false">TEXT(B68,"dddd")</f>
        <v>Monday</v>
      </c>
      <c r="J68" s="3" t="n">
        <f aca="false">WEEKNUM(B68,2)</f>
        <v>34</v>
      </c>
      <c r="K68" s="0" t="str">
        <f aca="false">C68&amp;" -&gt; "&amp;D68</f>
        <v>Johar Town -&gt; Askari</v>
      </c>
      <c r="L68" s="0" t="str">
        <f aca="false">IF(E68&lt;Params!$B$5,"Low",IF(E68&lt;=Params!$B$6,"Mid","High"))</f>
        <v>Mid</v>
      </c>
    </row>
    <row r="69" customFormat="false" ht="15" hidden="false" customHeight="false" outlineLevel="0" collapsed="false">
      <c r="A69" s="0" t="s">
        <v>97</v>
      </c>
      <c r="B69" s="2" t="n">
        <v>46239</v>
      </c>
      <c r="C69" s="3" t="s">
        <v>23</v>
      </c>
      <c r="D69" s="3" t="s">
        <v>18</v>
      </c>
      <c r="E69" s="4" t="n">
        <v>926</v>
      </c>
      <c r="F69" s="3" t="s">
        <v>29</v>
      </c>
      <c r="G69" s="3" t="s">
        <v>16</v>
      </c>
      <c r="H69" s="0" t="n">
        <v>3</v>
      </c>
      <c r="I69" s="0" t="str">
        <f aca="false">TEXT(B69,"dddd")</f>
        <v>Wednesday</v>
      </c>
      <c r="J69" s="3" t="n">
        <f aca="false">WEEKNUM(B69,2)</f>
        <v>32</v>
      </c>
      <c r="K69" s="0" t="str">
        <f aca="false">C69&amp;" -&gt; "&amp;D69</f>
        <v>Model Town -&gt; Askari</v>
      </c>
      <c r="L69" s="0" t="str">
        <f aca="false">IF(E69&lt;Params!$B$5,"Low",IF(E69&lt;=Params!$B$6,"Mid","High"))</f>
        <v>High</v>
      </c>
    </row>
    <row r="70" customFormat="false" ht="15" hidden="false" customHeight="false" outlineLevel="0" collapsed="false">
      <c r="A70" s="0" t="s">
        <v>98</v>
      </c>
      <c r="B70" s="2" t="n">
        <v>46254</v>
      </c>
      <c r="C70" s="3" t="s">
        <v>28</v>
      </c>
      <c r="D70" s="3" t="s">
        <v>18</v>
      </c>
      <c r="E70" s="4" t="n">
        <v>150</v>
      </c>
      <c r="F70" s="3" t="s">
        <v>24</v>
      </c>
      <c r="G70" s="3" t="s">
        <v>16</v>
      </c>
      <c r="H70" s="0" t="n">
        <v>4</v>
      </c>
      <c r="I70" s="0" t="str">
        <f aca="false">TEXT(B70,"dddd")</f>
        <v>Thursday</v>
      </c>
      <c r="J70" s="3" t="n">
        <f aca="false">WEEKNUM(B70,2)</f>
        <v>34</v>
      </c>
      <c r="K70" s="0" t="str">
        <f aca="false">C70&amp;" -&gt; "&amp;D70</f>
        <v>Johar Town -&gt; Askari</v>
      </c>
      <c r="L70" s="0" t="str">
        <f aca="false">IF(E70&lt;Params!$B$5,"Low",IF(E70&lt;=Params!$B$6,"Mid","High"))</f>
        <v>Low</v>
      </c>
    </row>
    <row r="71" customFormat="false" ht="15" hidden="false" customHeight="false" outlineLevel="0" collapsed="false">
      <c r="A71" s="0" t="s">
        <v>99</v>
      </c>
      <c r="B71" s="2" t="n">
        <v>46260</v>
      </c>
      <c r="C71" s="3" t="s">
        <v>26</v>
      </c>
      <c r="D71" s="3" t="s">
        <v>52</v>
      </c>
      <c r="E71" s="4" t="n">
        <v>1054</v>
      </c>
      <c r="F71" s="3" t="s">
        <v>24</v>
      </c>
      <c r="G71" s="3" t="s">
        <v>16</v>
      </c>
      <c r="H71" s="0" t="n">
        <v>5</v>
      </c>
      <c r="I71" s="0" t="str">
        <f aca="false">TEXT(B71,"dddd")</f>
        <v>Wednesday</v>
      </c>
      <c r="J71" s="3" t="n">
        <f aca="false">WEEKNUM(B71,2)</f>
        <v>35</v>
      </c>
      <c r="K71" s="0" t="str">
        <f aca="false">C71&amp;" -&gt; "&amp;D71</f>
        <v>Bahria Town -&gt; Airport</v>
      </c>
      <c r="L71" s="0" t="str">
        <f aca="false">IF(E71&lt;Params!$B$5,"Low",IF(E71&lt;=Params!$B$6,"Mid","High"))</f>
        <v>High</v>
      </c>
    </row>
    <row r="72" customFormat="false" ht="15" hidden="false" customHeight="false" outlineLevel="0" collapsed="false">
      <c r="A72" s="0" t="s">
        <v>100</v>
      </c>
      <c r="B72" s="2" t="n">
        <v>46250</v>
      </c>
      <c r="C72" s="3" t="s">
        <v>14</v>
      </c>
      <c r="D72" s="3" t="s">
        <v>13</v>
      </c>
      <c r="E72" s="4" t="n">
        <v>731</v>
      </c>
      <c r="F72" s="3" t="s">
        <v>29</v>
      </c>
      <c r="G72" s="3" t="s">
        <v>16</v>
      </c>
      <c r="H72" s="0" t="n">
        <v>5</v>
      </c>
      <c r="I72" s="0" t="str">
        <f aca="false">TEXT(B72,"dddd")</f>
        <v>Sunday</v>
      </c>
      <c r="J72" s="3" t="n">
        <f aca="false">WEEKNUM(B72,2)</f>
        <v>33</v>
      </c>
      <c r="K72" s="0" t="str">
        <f aca="false">C72&amp;" -&gt; "&amp;D72</f>
        <v>DHA -&gt; Gulberg</v>
      </c>
      <c r="L72" s="0" t="str">
        <f aca="false">IF(E72&lt;Params!$B$5,"Low",IF(E72&lt;=Params!$B$6,"Mid","High"))</f>
        <v>Mid</v>
      </c>
    </row>
    <row r="73" customFormat="false" ht="15" hidden="false" customHeight="false" outlineLevel="0" collapsed="false">
      <c r="A73" s="0" t="s">
        <v>101</v>
      </c>
      <c r="B73" s="2" t="n">
        <v>46245</v>
      </c>
      <c r="C73" s="3" t="s">
        <v>13</v>
      </c>
      <c r="D73" s="3" t="s">
        <v>21</v>
      </c>
      <c r="E73" s="4" t="n">
        <v>785</v>
      </c>
      <c r="F73" s="3" t="s">
        <v>15</v>
      </c>
      <c r="G73" s="3" t="s">
        <v>16</v>
      </c>
      <c r="H73" s="0" t="n">
        <v>3</v>
      </c>
      <c r="I73" s="0" t="str">
        <f aca="false">TEXT(B73,"dddd")</f>
        <v>Tuesday</v>
      </c>
      <c r="J73" s="3" t="n">
        <f aca="false">WEEKNUM(B73,2)</f>
        <v>33</v>
      </c>
      <c r="K73" s="0" t="str">
        <f aca="false">C73&amp;" -&gt; "&amp;D73</f>
        <v>Gulberg -&gt; Cantt</v>
      </c>
      <c r="L73" s="0" t="str">
        <f aca="false">IF(E73&lt;Params!$B$5,"Low",IF(E73&lt;=Params!$B$6,"Mid","High"))</f>
        <v>Mid</v>
      </c>
    </row>
    <row r="74" customFormat="false" ht="15" hidden="false" customHeight="false" outlineLevel="0" collapsed="false">
      <c r="A74" s="0" t="s">
        <v>102</v>
      </c>
      <c r="B74" s="2" t="n">
        <v>46235</v>
      </c>
      <c r="C74" s="3" t="s">
        <v>20</v>
      </c>
      <c r="D74" s="3" t="s">
        <v>21</v>
      </c>
      <c r="E74" s="4" t="n">
        <v>1123</v>
      </c>
      <c r="F74" s="3" t="s">
        <v>29</v>
      </c>
      <c r="G74" s="3" t="s">
        <v>36</v>
      </c>
      <c r="I74" s="0" t="str">
        <f aca="false">TEXT(B74,"dddd")</f>
        <v>Saturday</v>
      </c>
      <c r="J74" s="3" t="n">
        <f aca="false">WEEKNUM(B74,2)</f>
        <v>31</v>
      </c>
      <c r="K74" s="0" t="str">
        <f aca="false">C74&amp;" -&gt; "&amp;D74</f>
        <v>Lahore -&gt; Cantt</v>
      </c>
      <c r="L74" s="0" t="str">
        <f aca="false">IF(E74&lt;Params!$B$5,"Low",IF(E74&lt;=Params!$B$6,"Mid","High"))</f>
        <v>High</v>
      </c>
    </row>
    <row r="75" customFormat="false" ht="15" hidden="false" customHeight="false" outlineLevel="0" collapsed="false">
      <c r="A75" s="0" t="s">
        <v>103</v>
      </c>
      <c r="B75" s="2" t="n">
        <v>46237</v>
      </c>
      <c r="C75" s="3" t="s">
        <v>40</v>
      </c>
      <c r="D75" s="3" t="s">
        <v>18</v>
      </c>
      <c r="E75" s="4" t="n">
        <v>548</v>
      </c>
      <c r="F75" s="3" t="s">
        <v>29</v>
      </c>
      <c r="G75" s="3" t="s">
        <v>16</v>
      </c>
      <c r="H75" s="0" t="n">
        <v>4</v>
      </c>
      <c r="I75" s="0" t="str">
        <f aca="false">TEXT(B75,"dddd")</f>
        <v>Monday</v>
      </c>
      <c r="J75" s="3" t="n">
        <f aca="false">WEEKNUM(B75,2)</f>
        <v>32</v>
      </c>
      <c r="K75" s="0" t="str">
        <f aca="false">C75&amp;" -&gt; "&amp;D75</f>
        <v>Iqbal Town -&gt; Askari</v>
      </c>
      <c r="L75" s="0" t="str">
        <f aca="false">IF(E75&lt;Params!$B$5,"Low",IF(E75&lt;=Params!$B$6,"Mid","High"))</f>
        <v>Mid</v>
      </c>
    </row>
    <row r="76" customFormat="false" ht="15" hidden="false" customHeight="false" outlineLevel="0" collapsed="false">
      <c r="A76" s="0" t="s">
        <v>104</v>
      </c>
      <c r="B76" s="2" t="n">
        <v>46247</v>
      </c>
      <c r="C76" s="3" t="s">
        <v>23</v>
      </c>
      <c r="D76" s="3" t="s">
        <v>23</v>
      </c>
      <c r="E76" s="4" t="n">
        <v>161</v>
      </c>
      <c r="F76" s="3" t="s">
        <v>15</v>
      </c>
      <c r="G76" s="3" t="s">
        <v>16</v>
      </c>
      <c r="H76" s="0" t="n">
        <v>3</v>
      </c>
      <c r="I76" s="0" t="str">
        <f aca="false">TEXT(B76,"dddd")</f>
        <v>Thursday</v>
      </c>
      <c r="J76" s="3" t="n">
        <f aca="false">WEEKNUM(B76,2)</f>
        <v>33</v>
      </c>
      <c r="K76" s="0" t="str">
        <f aca="false">C76&amp;" -&gt; "&amp;D76</f>
        <v>Model Town -&gt; Model Town</v>
      </c>
      <c r="L76" s="0" t="str">
        <f aca="false">IF(E76&lt;Params!$B$5,"Low",IF(E76&lt;=Params!$B$6,"Mid","High"))</f>
        <v>Low</v>
      </c>
    </row>
    <row r="77" customFormat="false" ht="15" hidden="false" customHeight="false" outlineLevel="0" collapsed="false">
      <c r="A77" s="0" t="s">
        <v>105</v>
      </c>
      <c r="B77" s="2" t="n">
        <v>46240</v>
      </c>
      <c r="C77" s="3" t="s">
        <v>40</v>
      </c>
      <c r="D77" s="3" t="s">
        <v>14</v>
      </c>
      <c r="E77" s="4" t="n">
        <v>660</v>
      </c>
      <c r="F77" s="3" t="s">
        <v>15</v>
      </c>
      <c r="G77" s="3" t="s">
        <v>16</v>
      </c>
      <c r="H77" s="0" t="n">
        <v>4</v>
      </c>
      <c r="I77" s="0" t="str">
        <f aca="false">TEXT(B77,"dddd")</f>
        <v>Thursday</v>
      </c>
      <c r="J77" s="3" t="n">
        <f aca="false">WEEKNUM(B77,2)</f>
        <v>32</v>
      </c>
      <c r="K77" s="0" t="str">
        <f aca="false">C77&amp;" -&gt; "&amp;D77</f>
        <v>Iqbal Town -&gt; DHA</v>
      </c>
      <c r="L77" s="0" t="str">
        <f aca="false">IF(E77&lt;Params!$B$5,"Low",IF(E77&lt;=Params!$B$6,"Mid","High"))</f>
        <v>Mid</v>
      </c>
    </row>
    <row r="78" customFormat="false" ht="15" hidden="false" customHeight="false" outlineLevel="0" collapsed="false">
      <c r="A78" s="0" t="s">
        <v>106</v>
      </c>
      <c r="B78" s="2" t="n">
        <v>46256</v>
      </c>
      <c r="C78" s="3" t="s">
        <v>26</v>
      </c>
      <c r="D78" s="3" t="s">
        <v>52</v>
      </c>
      <c r="E78" s="4" t="n">
        <v>1183</v>
      </c>
      <c r="F78" s="3" t="s">
        <v>24</v>
      </c>
      <c r="G78" s="3" t="s">
        <v>36</v>
      </c>
      <c r="I78" s="0" t="str">
        <f aca="false">TEXT(B78,"dddd")</f>
        <v>Saturday</v>
      </c>
      <c r="J78" s="3" t="n">
        <f aca="false">WEEKNUM(B78,2)</f>
        <v>34</v>
      </c>
      <c r="K78" s="0" t="str">
        <f aca="false">C78&amp;" -&gt; "&amp;D78</f>
        <v>Bahria Town -&gt; Airport</v>
      </c>
      <c r="L78" s="0" t="str">
        <f aca="false">IF(E78&lt;Params!$B$5,"Low",IF(E78&lt;=Params!$B$6,"Mid","High"))</f>
        <v>High</v>
      </c>
    </row>
    <row r="79" customFormat="false" ht="15" hidden="false" customHeight="false" outlineLevel="0" collapsed="false">
      <c r="A79" s="0" t="s">
        <v>107</v>
      </c>
      <c r="B79" s="2" t="n">
        <v>46252</v>
      </c>
      <c r="C79" s="3" t="s">
        <v>40</v>
      </c>
      <c r="D79" s="3" t="s">
        <v>23</v>
      </c>
      <c r="E79" s="4" t="n">
        <v>1122</v>
      </c>
      <c r="F79" s="3" t="s">
        <v>24</v>
      </c>
      <c r="G79" s="3" t="s">
        <v>16</v>
      </c>
      <c r="H79" s="0" t="n">
        <v>3</v>
      </c>
      <c r="I79" s="0" t="str">
        <f aca="false">TEXT(B79,"dddd")</f>
        <v>Tuesday</v>
      </c>
      <c r="J79" s="3" t="n">
        <f aca="false">WEEKNUM(B79,2)</f>
        <v>34</v>
      </c>
      <c r="K79" s="0" t="str">
        <f aca="false">C79&amp;" -&gt; "&amp;D79</f>
        <v>Iqbal Town -&gt; Model Town</v>
      </c>
      <c r="L79" s="0" t="str">
        <f aca="false">IF(E79&lt;Params!$B$5,"Low",IF(E79&lt;=Params!$B$6,"Mid","High"))</f>
        <v>High</v>
      </c>
    </row>
    <row r="80" customFormat="false" ht="15" hidden="false" customHeight="false" outlineLevel="0" collapsed="false">
      <c r="A80" s="0" t="s">
        <v>108</v>
      </c>
      <c r="B80" s="2" t="n">
        <v>46261</v>
      </c>
      <c r="C80" s="3" t="s">
        <v>28</v>
      </c>
      <c r="D80" s="3" t="s">
        <v>52</v>
      </c>
      <c r="E80" s="4" t="n">
        <v>639</v>
      </c>
      <c r="F80" s="3" t="s">
        <v>24</v>
      </c>
      <c r="G80" s="3" t="s">
        <v>16</v>
      </c>
      <c r="H80" s="0" t="n">
        <v>5</v>
      </c>
      <c r="I80" s="0" t="str">
        <f aca="false">TEXT(B80,"dddd")</f>
        <v>Thursday</v>
      </c>
      <c r="J80" s="3" t="n">
        <f aca="false">WEEKNUM(B80,2)</f>
        <v>35</v>
      </c>
      <c r="K80" s="0" t="str">
        <f aca="false">C80&amp;" -&gt; "&amp;D80</f>
        <v>Johar Town -&gt; Airport</v>
      </c>
      <c r="L80" s="0" t="str">
        <f aca="false">IF(E80&lt;Params!$B$5,"Low",IF(E80&lt;=Params!$B$6,"Mid","High"))</f>
        <v>Mid</v>
      </c>
    </row>
    <row r="81" customFormat="false" ht="15" hidden="false" customHeight="false" outlineLevel="0" collapsed="false">
      <c r="A81" s="0" t="s">
        <v>109</v>
      </c>
      <c r="B81" s="2" t="n">
        <v>46244</v>
      </c>
      <c r="C81" s="3" t="s">
        <v>23</v>
      </c>
      <c r="D81" s="3" t="s">
        <v>67</v>
      </c>
      <c r="E81" s="4" t="n">
        <v>837</v>
      </c>
      <c r="F81" s="3" t="s">
        <v>24</v>
      </c>
      <c r="G81" s="3" t="s">
        <v>36</v>
      </c>
      <c r="I81" s="0" t="str">
        <f aca="false">TEXT(B81,"dddd")</f>
        <v>Monday</v>
      </c>
      <c r="J81" s="3" t="n">
        <f aca="false">WEEKNUM(B81,2)</f>
        <v>33</v>
      </c>
      <c r="K81" s="0" t="str">
        <f aca="false">C81&amp;" -&gt; "&amp;D81</f>
        <v>Model Town -&gt; Township</v>
      </c>
      <c r="L81" s="0" t="str">
        <f aca="false">IF(E81&lt;Params!$B$5,"Low",IF(E81&lt;=Params!$B$6,"Mid","High"))</f>
        <v>High</v>
      </c>
    </row>
    <row r="82" customFormat="false" ht="15" hidden="false" customHeight="false" outlineLevel="0" collapsed="false">
      <c r="A82" s="0" t="s">
        <v>110</v>
      </c>
      <c r="B82" s="2" t="n">
        <v>46237</v>
      </c>
      <c r="C82" s="3" t="s">
        <v>14</v>
      </c>
      <c r="D82" s="3" t="s">
        <v>23</v>
      </c>
      <c r="E82" s="4" t="n">
        <v>623</v>
      </c>
      <c r="F82" s="3" t="s">
        <v>24</v>
      </c>
      <c r="G82" s="3" t="s">
        <v>16</v>
      </c>
      <c r="H82" s="0" t="n">
        <v>5</v>
      </c>
      <c r="I82" s="0" t="str">
        <f aca="false">TEXT(B82,"dddd")</f>
        <v>Monday</v>
      </c>
      <c r="J82" s="3" t="n">
        <f aca="false">WEEKNUM(B82,2)</f>
        <v>32</v>
      </c>
      <c r="K82" s="0" t="str">
        <f aca="false">C82&amp;" -&gt; "&amp;D82</f>
        <v>DHA -&gt; Model Town</v>
      </c>
      <c r="L82" s="0" t="str">
        <f aca="false">IF(E82&lt;Params!$B$5,"Low",IF(E82&lt;=Params!$B$6,"Mid","High"))</f>
        <v>Mid</v>
      </c>
    </row>
    <row r="83" customFormat="false" ht="15" hidden="false" customHeight="false" outlineLevel="0" collapsed="false">
      <c r="A83" s="0" t="s">
        <v>111</v>
      </c>
      <c r="B83" s="2" t="n">
        <v>46241</v>
      </c>
      <c r="C83" s="3" t="s">
        <v>13</v>
      </c>
      <c r="D83" s="3" t="s">
        <v>18</v>
      </c>
      <c r="E83" s="4" t="n">
        <v>984</v>
      </c>
      <c r="F83" s="3" t="s">
        <v>24</v>
      </c>
      <c r="G83" s="3" t="s">
        <v>16</v>
      </c>
      <c r="H83" s="0" t="n">
        <v>4</v>
      </c>
      <c r="I83" s="0" t="str">
        <f aca="false">TEXT(B83,"dddd")</f>
        <v>Friday</v>
      </c>
      <c r="J83" s="3" t="n">
        <f aca="false">WEEKNUM(B83,2)</f>
        <v>32</v>
      </c>
      <c r="K83" s="0" t="str">
        <f aca="false">C83&amp;" -&gt; "&amp;D83</f>
        <v>Gulberg -&gt; Askari</v>
      </c>
      <c r="L83" s="0" t="str">
        <f aca="false">IF(E83&lt;Params!$B$5,"Low",IF(E83&lt;=Params!$B$6,"Mid","High"))</f>
        <v>High</v>
      </c>
    </row>
    <row r="84" customFormat="false" ht="15" hidden="false" customHeight="false" outlineLevel="0" collapsed="false">
      <c r="A84" s="0" t="s">
        <v>112</v>
      </c>
      <c r="B84" s="2" t="n">
        <v>46236</v>
      </c>
      <c r="C84" s="3" t="s">
        <v>23</v>
      </c>
      <c r="D84" s="3" t="s">
        <v>18</v>
      </c>
      <c r="E84" s="4" t="n">
        <v>947</v>
      </c>
      <c r="F84" s="3" t="s">
        <v>29</v>
      </c>
      <c r="G84" s="3" t="s">
        <v>36</v>
      </c>
      <c r="I84" s="0" t="str">
        <f aca="false">TEXT(B84,"dddd")</f>
        <v>Sunday</v>
      </c>
      <c r="J84" s="3" t="n">
        <f aca="false">WEEKNUM(B84,2)</f>
        <v>31</v>
      </c>
      <c r="K84" s="0" t="str">
        <f aca="false">C84&amp;" -&gt; "&amp;D84</f>
        <v>Model Town -&gt; Askari</v>
      </c>
      <c r="L84" s="0" t="str">
        <f aca="false">IF(E84&lt;Params!$B$5,"Low",IF(E84&lt;=Params!$B$6,"Mid","High"))</f>
        <v>High</v>
      </c>
    </row>
    <row r="85" customFormat="false" ht="15" hidden="false" customHeight="false" outlineLevel="0" collapsed="false">
      <c r="A85" s="0" t="s">
        <v>113</v>
      </c>
      <c r="B85" s="2" t="n">
        <v>46235</v>
      </c>
      <c r="C85" s="3" t="s">
        <v>44</v>
      </c>
      <c r="D85" s="3" t="s">
        <v>52</v>
      </c>
      <c r="E85" s="4" t="n">
        <v>162</v>
      </c>
      <c r="F85" s="3" t="s">
        <v>24</v>
      </c>
      <c r="G85" s="3" t="s">
        <v>16</v>
      </c>
      <c r="H85" s="0" t="n">
        <v>4</v>
      </c>
      <c r="I85" s="0" t="str">
        <f aca="false">TEXT(B85,"dddd")</f>
        <v>Saturday</v>
      </c>
      <c r="J85" s="3" t="n">
        <f aca="false">WEEKNUM(B85,2)</f>
        <v>31</v>
      </c>
      <c r="K85" s="0" t="str">
        <f aca="false">C85&amp;" -&gt; "&amp;D85</f>
        <v>Wapda Town -&gt; Airport</v>
      </c>
      <c r="L85" s="0" t="str">
        <f aca="false">IF(E85&lt;Params!$B$5,"Low",IF(E85&lt;=Params!$B$6,"Mid","High"))</f>
        <v>Low</v>
      </c>
    </row>
    <row r="86" customFormat="false" ht="15" hidden="false" customHeight="false" outlineLevel="0" collapsed="false">
      <c r="A86" s="0" t="s">
        <v>114</v>
      </c>
      <c r="B86" s="2" t="n">
        <v>46262</v>
      </c>
      <c r="C86" s="3" t="s">
        <v>44</v>
      </c>
      <c r="D86" s="3" t="s">
        <v>21</v>
      </c>
      <c r="E86" s="4" t="n">
        <v>1149</v>
      </c>
      <c r="F86" s="3" t="s">
        <v>15</v>
      </c>
      <c r="G86" s="3" t="s">
        <v>16</v>
      </c>
      <c r="H86" s="0" t="n">
        <v>4</v>
      </c>
      <c r="I86" s="0" t="str">
        <f aca="false">TEXT(B86,"dddd")</f>
        <v>Friday</v>
      </c>
      <c r="J86" s="3" t="n">
        <f aca="false">WEEKNUM(B86,2)</f>
        <v>35</v>
      </c>
      <c r="K86" s="0" t="str">
        <f aca="false">C86&amp;" -&gt; "&amp;D86</f>
        <v>Wapda Town -&gt; Cantt</v>
      </c>
      <c r="L86" s="0" t="str">
        <f aca="false">IF(E86&lt;Params!$B$5,"Low",IF(E86&lt;=Params!$B$6,"Mid","High"))</f>
        <v>High</v>
      </c>
    </row>
    <row r="87" customFormat="false" ht="15" hidden="false" customHeight="false" outlineLevel="0" collapsed="false">
      <c r="A87" s="0" t="s">
        <v>115</v>
      </c>
      <c r="B87" s="2" t="n">
        <v>46235</v>
      </c>
      <c r="C87" s="3" t="s">
        <v>44</v>
      </c>
      <c r="D87" s="3" t="s">
        <v>31</v>
      </c>
      <c r="E87" s="4" t="n">
        <v>978</v>
      </c>
      <c r="F87" s="3" t="s">
        <v>29</v>
      </c>
      <c r="G87" s="3" t="s">
        <v>16</v>
      </c>
      <c r="H87" s="0" t="n">
        <v>4</v>
      </c>
      <c r="I87" s="0" t="str">
        <f aca="false">TEXT(B87,"dddd")</f>
        <v>Saturday</v>
      </c>
      <c r="J87" s="3" t="n">
        <f aca="false">WEEKNUM(B87,2)</f>
        <v>31</v>
      </c>
      <c r="K87" s="0" t="str">
        <f aca="false">C87&amp;" -&gt; "&amp;D87</f>
        <v>Wapda Town -&gt; Faisal Town</v>
      </c>
      <c r="L87" s="0" t="str">
        <f aca="false">IF(E87&lt;Params!$B$5,"Low",IF(E87&lt;=Params!$B$6,"Mid","High"))</f>
        <v>High</v>
      </c>
    </row>
    <row r="88" customFormat="false" ht="15" hidden="false" customHeight="false" outlineLevel="0" collapsed="false">
      <c r="A88" s="0" t="s">
        <v>116</v>
      </c>
      <c r="B88" s="2" t="n">
        <v>46264</v>
      </c>
      <c r="C88" s="3" t="s">
        <v>14</v>
      </c>
      <c r="D88" s="3" t="s">
        <v>14</v>
      </c>
      <c r="E88" s="4" t="n">
        <v>956</v>
      </c>
      <c r="F88" s="3" t="s">
        <v>29</v>
      </c>
      <c r="G88" s="3" t="s">
        <v>16</v>
      </c>
      <c r="H88" s="0" t="n">
        <v>3</v>
      </c>
      <c r="I88" s="0" t="str">
        <f aca="false">TEXT(B88,"dddd")</f>
        <v>Sunday</v>
      </c>
      <c r="J88" s="3" t="n">
        <f aca="false">WEEKNUM(B88,2)</f>
        <v>35</v>
      </c>
      <c r="K88" s="0" t="str">
        <f aca="false">C88&amp;" -&gt; "&amp;D88</f>
        <v>DHA -&gt; DHA</v>
      </c>
      <c r="L88" s="0" t="str">
        <f aca="false">IF(E88&lt;Params!$B$5,"Low",IF(E88&lt;=Params!$B$6,"Mid","High"))</f>
        <v>High</v>
      </c>
    </row>
    <row r="89" customFormat="false" ht="15" hidden="false" customHeight="false" outlineLevel="0" collapsed="false">
      <c r="A89" s="0" t="s">
        <v>117</v>
      </c>
      <c r="B89" s="2" t="n">
        <v>46237</v>
      </c>
      <c r="C89" s="3" t="s">
        <v>44</v>
      </c>
      <c r="D89" s="3" t="s">
        <v>23</v>
      </c>
      <c r="E89" s="4" t="n">
        <v>1095</v>
      </c>
      <c r="F89" s="3" t="s">
        <v>15</v>
      </c>
      <c r="G89" s="3" t="s">
        <v>16</v>
      </c>
      <c r="H89" s="0" t="n">
        <v>4</v>
      </c>
      <c r="I89" s="0" t="str">
        <f aca="false">TEXT(B89,"dddd")</f>
        <v>Monday</v>
      </c>
      <c r="J89" s="3" t="n">
        <f aca="false">WEEKNUM(B89,2)</f>
        <v>32</v>
      </c>
      <c r="K89" s="0" t="str">
        <f aca="false">C89&amp;" -&gt; "&amp;D89</f>
        <v>Wapda Town -&gt; Model Town</v>
      </c>
      <c r="L89" s="0" t="str">
        <f aca="false">IF(E89&lt;Params!$B$5,"Low",IF(E89&lt;=Params!$B$6,"Mid","High"))</f>
        <v>High</v>
      </c>
    </row>
    <row r="90" customFormat="false" ht="15" hidden="false" customHeight="false" outlineLevel="0" collapsed="false">
      <c r="A90" s="0" t="s">
        <v>118</v>
      </c>
      <c r="B90" s="2" t="n">
        <v>46245</v>
      </c>
      <c r="C90" s="3" t="s">
        <v>23</v>
      </c>
      <c r="D90" s="3" t="s">
        <v>52</v>
      </c>
      <c r="E90" s="4" t="n">
        <v>819</v>
      </c>
      <c r="F90" s="3" t="s">
        <v>24</v>
      </c>
      <c r="G90" s="3" t="s">
        <v>16</v>
      </c>
      <c r="H90" s="0" t="n">
        <v>4</v>
      </c>
      <c r="I90" s="0" t="str">
        <f aca="false">TEXT(B90,"dddd")</f>
        <v>Tuesday</v>
      </c>
      <c r="J90" s="3" t="n">
        <f aca="false">WEEKNUM(B90,2)</f>
        <v>33</v>
      </c>
      <c r="K90" s="0" t="str">
        <f aca="false">C90&amp;" -&gt; "&amp;D90</f>
        <v>Model Town -&gt; Airport</v>
      </c>
      <c r="L90" s="0" t="str">
        <f aca="false">IF(E90&lt;Params!$B$5,"Low",IF(E90&lt;=Params!$B$6,"Mid","High"))</f>
        <v>Mid</v>
      </c>
    </row>
    <row r="91" customFormat="false" ht="15" hidden="false" customHeight="false" outlineLevel="0" collapsed="false">
      <c r="A91" s="0" t="s">
        <v>119</v>
      </c>
      <c r="B91" s="2" t="n">
        <v>46243</v>
      </c>
      <c r="C91" s="3" t="s">
        <v>44</v>
      </c>
      <c r="D91" s="3" t="s">
        <v>67</v>
      </c>
      <c r="E91" s="4" t="n">
        <v>317</v>
      </c>
      <c r="F91" s="3" t="s">
        <v>24</v>
      </c>
      <c r="G91" s="3" t="s">
        <v>16</v>
      </c>
      <c r="H91" s="0" t="n">
        <v>5</v>
      </c>
      <c r="I91" s="0" t="str">
        <f aca="false">TEXT(B91,"dddd")</f>
        <v>Sunday</v>
      </c>
      <c r="J91" s="3" t="n">
        <f aca="false">WEEKNUM(B91,2)</f>
        <v>32</v>
      </c>
      <c r="K91" s="0" t="str">
        <f aca="false">C91&amp;" -&gt; "&amp;D91</f>
        <v>Wapda Town -&gt; Township</v>
      </c>
      <c r="L91" s="0" t="str">
        <f aca="false">IF(E91&lt;Params!$B$5,"Low",IF(E91&lt;=Params!$B$6,"Mid","High"))</f>
        <v>Low</v>
      </c>
    </row>
    <row r="92" customFormat="false" ht="15" hidden="false" customHeight="false" outlineLevel="0" collapsed="false">
      <c r="A92" s="0" t="s">
        <v>120</v>
      </c>
      <c r="B92" s="2" t="n">
        <v>46236</v>
      </c>
      <c r="C92" s="3" t="s">
        <v>26</v>
      </c>
      <c r="D92" s="3" t="s">
        <v>21</v>
      </c>
      <c r="E92" s="4" t="n">
        <v>290</v>
      </c>
      <c r="F92" s="3" t="s">
        <v>29</v>
      </c>
      <c r="G92" s="3" t="s">
        <v>16</v>
      </c>
      <c r="H92" s="0" t="n">
        <v>3</v>
      </c>
      <c r="I92" s="0" t="str">
        <f aca="false">TEXT(B92,"dddd")</f>
        <v>Sunday</v>
      </c>
      <c r="J92" s="3" t="n">
        <f aca="false">WEEKNUM(B92,2)</f>
        <v>31</v>
      </c>
      <c r="K92" s="0" t="str">
        <f aca="false">C92&amp;" -&gt; "&amp;D92</f>
        <v>Bahria Town -&gt; Cantt</v>
      </c>
      <c r="L92" s="0" t="str">
        <f aca="false">IF(E92&lt;Params!$B$5,"Low",IF(E92&lt;=Params!$B$6,"Mid","High"))</f>
        <v>Low</v>
      </c>
    </row>
    <row r="93" customFormat="false" ht="15" hidden="false" customHeight="false" outlineLevel="0" collapsed="false">
      <c r="A93" s="0" t="s">
        <v>121</v>
      </c>
      <c r="B93" s="2" t="n">
        <v>46242</v>
      </c>
      <c r="C93" s="3" t="s">
        <v>23</v>
      </c>
      <c r="D93" s="3" t="s">
        <v>14</v>
      </c>
      <c r="E93" s="4" t="n">
        <v>462</v>
      </c>
      <c r="F93" s="3" t="s">
        <v>15</v>
      </c>
      <c r="G93" s="3" t="s">
        <v>16</v>
      </c>
      <c r="H93" s="0" t="n">
        <v>5</v>
      </c>
      <c r="I93" s="0" t="str">
        <f aca="false">TEXT(B93,"dddd")</f>
        <v>Saturday</v>
      </c>
      <c r="J93" s="3" t="n">
        <f aca="false">WEEKNUM(B93,2)</f>
        <v>32</v>
      </c>
      <c r="K93" s="0" t="str">
        <f aca="false">C93&amp;" -&gt; "&amp;D93</f>
        <v>Model Town -&gt; DHA</v>
      </c>
      <c r="L93" s="0" t="str">
        <f aca="false">IF(E93&lt;Params!$B$5,"Low",IF(E93&lt;=Params!$B$6,"Mid","High"))</f>
        <v>Low</v>
      </c>
    </row>
    <row r="94" customFormat="false" ht="15" hidden="false" customHeight="false" outlineLevel="0" collapsed="false">
      <c r="A94" s="0" t="s">
        <v>122</v>
      </c>
      <c r="B94" s="2" t="n">
        <v>46238</v>
      </c>
      <c r="C94" s="3" t="s">
        <v>23</v>
      </c>
      <c r="D94" s="3" t="s">
        <v>52</v>
      </c>
      <c r="E94" s="4" t="n">
        <v>674</v>
      </c>
      <c r="F94" s="3" t="s">
        <v>24</v>
      </c>
      <c r="G94" s="3" t="s">
        <v>16</v>
      </c>
      <c r="H94" s="0" t="n">
        <v>5</v>
      </c>
      <c r="I94" s="0" t="str">
        <f aca="false">TEXT(B94,"dddd")</f>
        <v>Tuesday</v>
      </c>
      <c r="J94" s="3" t="n">
        <f aca="false">WEEKNUM(B94,2)</f>
        <v>32</v>
      </c>
      <c r="K94" s="0" t="str">
        <f aca="false">C94&amp;" -&gt; "&amp;D94</f>
        <v>Model Town -&gt; Airport</v>
      </c>
      <c r="L94" s="0" t="str">
        <f aca="false">IF(E94&lt;Params!$B$5,"Low",IF(E94&lt;=Params!$B$6,"Mid","High"))</f>
        <v>Mid</v>
      </c>
    </row>
    <row r="95" customFormat="false" ht="15" hidden="false" customHeight="false" outlineLevel="0" collapsed="false">
      <c r="A95" s="0" t="s">
        <v>123</v>
      </c>
      <c r="B95" s="2" t="n">
        <v>46258</v>
      </c>
      <c r="C95" s="3" t="s">
        <v>13</v>
      </c>
      <c r="D95" s="3" t="s">
        <v>23</v>
      </c>
      <c r="E95" s="4" t="n">
        <v>787</v>
      </c>
      <c r="F95" s="3" t="s">
        <v>15</v>
      </c>
      <c r="G95" s="3" t="s">
        <v>16</v>
      </c>
      <c r="H95" s="0" t="n">
        <v>4</v>
      </c>
      <c r="I95" s="0" t="str">
        <f aca="false">TEXT(B95,"dddd")</f>
        <v>Monday</v>
      </c>
      <c r="J95" s="3" t="n">
        <f aca="false">WEEKNUM(B95,2)</f>
        <v>35</v>
      </c>
      <c r="K95" s="0" t="str">
        <f aca="false">C95&amp;" -&gt; "&amp;D95</f>
        <v>Gulberg -&gt; Model Town</v>
      </c>
      <c r="L95" s="0" t="str">
        <f aca="false">IF(E95&lt;Params!$B$5,"Low",IF(E95&lt;=Params!$B$6,"Mid","High"))</f>
        <v>Mid</v>
      </c>
    </row>
    <row r="96" customFormat="false" ht="15" hidden="false" customHeight="false" outlineLevel="0" collapsed="false">
      <c r="A96" s="0" t="s">
        <v>124</v>
      </c>
      <c r="B96" s="2" t="n">
        <v>46253</v>
      </c>
      <c r="C96" s="3" t="s">
        <v>44</v>
      </c>
      <c r="D96" s="3" t="s">
        <v>18</v>
      </c>
      <c r="E96" s="4" t="n">
        <v>556</v>
      </c>
      <c r="F96" s="3" t="s">
        <v>15</v>
      </c>
      <c r="G96" s="3" t="s">
        <v>16</v>
      </c>
      <c r="H96" s="0" t="n">
        <v>5</v>
      </c>
      <c r="I96" s="0" t="str">
        <f aca="false">TEXT(B96,"dddd")</f>
        <v>Wednesday</v>
      </c>
      <c r="J96" s="3" t="n">
        <f aca="false">WEEKNUM(B96,2)</f>
        <v>34</v>
      </c>
      <c r="K96" s="0" t="str">
        <f aca="false">C96&amp;" -&gt; "&amp;D96</f>
        <v>Wapda Town -&gt; Askari</v>
      </c>
      <c r="L96" s="0" t="str">
        <f aca="false">IF(E96&lt;Params!$B$5,"Low",IF(E96&lt;=Params!$B$6,"Mid","High"))</f>
        <v>Mid</v>
      </c>
    </row>
    <row r="97" customFormat="false" ht="15" hidden="false" customHeight="false" outlineLevel="0" collapsed="false">
      <c r="A97" s="0" t="s">
        <v>125</v>
      </c>
      <c r="B97" s="2" t="n">
        <v>46242</v>
      </c>
      <c r="C97" s="3" t="s">
        <v>13</v>
      </c>
      <c r="D97" s="3" t="s">
        <v>67</v>
      </c>
      <c r="E97" s="4" t="n">
        <v>397</v>
      </c>
      <c r="F97" s="3" t="s">
        <v>29</v>
      </c>
      <c r="G97" s="3" t="s">
        <v>16</v>
      </c>
      <c r="H97" s="0" t="n">
        <v>4</v>
      </c>
      <c r="I97" s="0" t="str">
        <f aca="false">TEXT(B97,"dddd")</f>
        <v>Saturday</v>
      </c>
      <c r="J97" s="3" t="n">
        <f aca="false">WEEKNUM(B97,2)</f>
        <v>32</v>
      </c>
      <c r="K97" s="0" t="str">
        <f aca="false">C97&amp;" -&gt; "&amp;D97</f>
        <v>Gulberg -&gt; Township</v>
      </c>
      <c r="L97" s="0" t="str">
        <f aca="false">IF(E97&lt;Params!$B$5,"Low",IF(E97&lt;=Params!$B$6,"Mid","High"))</f>
        <v>Low</v>
      </c>
    </row>
    <row r="98" customFormat="false" ht="15" hidden="false" customHeight="false" outlineLevel="0" collapsed="false">
      <c r="A98" s="0" t="s">
        <v>126</v>
      </c>
      <c r="B98" s="2" t="n">
        <v>46252</v>
      </c>
      <c r="C98" s="3" t="s">
        <v>44</v>
      </c>
      <c r="D98" s="3" t="s">
        <v>31</v>
      </c>
      <c r="E98" s="4" t="n">
        <v>291</v>
      </c>
      <c r="F98" s="3" t="s">
        <v>29</v>
      </c>
      <c r="G98" s="3" t="s">
        <v>16</v>
      </c>
      <c r="H98" s="0" t="n">
        <v>3</v>
      </c>
      <c r="I98" s="0" t="str">
        <f aca="false">TEXT(B98,"dddd")</f>
        <v>Tuesday</v>
      </c>
      <c r="J98" s="3" t="n">
        <f aca="false">WEEKNUM(B98,2)</f>
        <v>34</v>
      </c>
      <c r="K98" s="0" t="str">
        <f aca="false">C98&amp;" -&gt; "&amp;D98</f>
        <v>Wapda Town -&gt; Faisal Town</v>
      </c>
      <c r="L98" s="0" t="str">
        <f aca="false">IF(E98&lt;Params!$B$5,"Low",IF(E98&lt;=Params!$B$6,"Mid","High"))</f>
        <v>Low</v>
      </c>
    </row>
    <row r="99" customFormat="false" ht="15" hidden="false" customHeight="false" outlineLevel="0" collapsed="false">
      <c r="A99" s="0" t="s">
        <v>127</v>
      </c>
      <c r="B99" s="2" t="n">
        <v>46262</v>
      </c>
      <c r="C99" s="3" t="s">
        <v>44</v>
      </c>
      <c r="D99" s="3" t="s">
        <v>52</v>
      </c>
      <c r="E99" s="4" t="n">
        <v>366</v>
      </c>
      <c r="F99" s="3" t="s">
        <v>24</v>
      </c>
      <c r="G99" s="3" t="s">
        <v>36</v>
      </c>
      <c r="I99" s="0" t="str">
        <f aca="false">TEXT(B99,"dddd")</f>
        <v>Friday</v>
      </c>
      <c r="J99" s="3" t="n">
        <f aca="false">WEEKNUM(B99,2)</f>
        <v>35</v>
      </c>
      <c r="K99" s="0" t="str">
        <f aca="false">C99&amp;" -&gt; "&amp;D99</f>
        <v>Wapda Town -&gt; Airport</v>
      </c>
      <c r="L99" s="0" t="str">
        <f aca="false">IF(E99&lt;Params!$B$5,"Low",IF(E99&lt;=Params!$B$6,"Mid","High"))</f>
        <v>Low</v>
      </c>
    </row>
    <row r="100" customFormat="false" ht="15" hidden="false" customHeight="false" outlineLevel="0" collapsed="false">
      <c r="A100" s="0" t="s">
        <v>128</v>
      </c>
      <c r="B100" s="2" t="n">
        <v>46255</v>
      </c>
      <c r="C100" s="3" t="s">
        <v>40</v>
      </c>
      <c r="D100" s="3" t="s">
        <v>23</v>
      </c>
      <c r="E100" s="4" t="n">
        <v>1041</v>
      </c>
      <c r="F100" s="3" t="s">
        <v>15</v>
      </c>
      <c r="G100" s="3" t="s">
        <v>16</v>
      </c>
      <c r="H100" s="0" t="n">
        <v>5</v>
      </c>
      <c r="I100" s="0" t="str">
        <f aca="false">TEXT(B100,"dddd")</f>
        <v>Friday</v>
      </c>
      <c r="J100" s="3" t="n">
        <f aca="false">WEEKNUM(B100,2)</f>
        <v>34</v>
      </c>
      <c r="K100" s="0" t="str">
        <f aca="false">C100&amp;" -&gt; "&amp;D100</f>
        <v>Iqbal Town -&gt; Model Town</v>
      </c>
      <c r="L100" s="0" t="str">
        <f aca="false">IF(E100&lt;Params!$B$5,"Low",IF(E100&lt;=Params!$B$6,"Mid","High"))</f>
        <v>High</v>
      </c>
    </row>
    <row r="101" customFormat="false" ht="15" hidden="false" customHeight="false" outlineLevel="0" collapsed="false">
      <c r="A101" s="0" t="s">
        <v>129</v>
      </c>
      <c r="B101" s="2" t="n">
        <v>46243</v>
      </c>
      <c r="C101" s="3" t="s">
        <v>40</v>
      </c>
      <c r="D101" s="3" t="s">
        <v>52</v>
      </c>
      <c r="E101" s="4" t="n">
        <v>1042</v>
      </c>
      <c r="F101" s="3" t="s">
        <v>29</v>
      </c>
      <c r="G101" s="3" t="s">
        <v>16</v>
      </c>
      <c r="H101" s="0" t="n">
        <v>4</v>
      </c>
      <c r="I101" s="0" t="str">
        <f aca="false">TEXT(B101,"dddd")</f>
        <v>Sunday</v>
      </c>
      <c r="J101" s="3" t="n">
        <f aca="false">WEEKNUM(B101,2)</f>
        <v>32</v>
      </c>
      <c r="K101" s="0" t="str">
        <f aca="false">C101&amp;" -&gt; "&amp;D101</f>
        <v>Iqbal Town -&gt; Airport</v>
      </c>
      <c r="L101" s="0" t="str">
        <f aca="false">IF(E101&lt;Params!$B$5,"Low",IF(E101&lt;=Params!$B$6,"Mid","High"))</f>
        <v>High</v>
      </c>
    </row>
    <row r="102" customFormat="false" ht="15" hidden="false" customHeight="false" outlineLevel="0" collapsed="false">
      <c r="A102" s="0" t="s">
        <v>130</v>
      </c>
      <c r="B102" s="2" t="n">
        <v>46262</v>
      </c>
      <c r="C102" s="3" t="s">
        <v>23</v>
      </c>
      <c r="D102" s="3" t="s">
        <v>13</v>
      </c>
      <c r="E102" s="4" t="n">
        <v>721</v>
      </c>
      <c r="F102" s="3" t="s">
        <v>24</v>
      </c>
      <c r="G102" s="3" t="s">
        <v>16</v>
      </c>
      <c r="H102" s="0" t="n">
        <v>4</v>
      </c>
      <c r="I102" s="0" t="str">
        <f aca="false">TEXT(B102,"dddd")</f>
        <v>Friday</v>
      </c>
      <c r="J102" s="3" t="n">
        <f aca="false">WEEKNUM(B102,2)</f>
        <v>35</v>
      </c>
      <c r="K102" s="0" t="str">
        <f aca="false">C102&amp;" -&gt; "&amp;D102</f>
        <v>Model Town -&gt; Gulberg</v>
      </c>
      <c r="L102" s="0" t="str">
        <f aca="false">IF(E102&lt;Params!$B$5,"Low",IF(E102&lt;=Params!$B$6,"Mid","High"))</f>
        <v>Mid</v>
      </c>
    </row>
    <row r="103" customFormat="false" ht="15" hidden="false" customHeight="false" outlineLevel="0" collapsed="false">
      <c r="A103" s="0" t="s">
        <v>131</v>
      </c>
      <c r="B103" s="2" t="n">
        <v>46253</v>
      </c>
      <c r="C103" s="3" t="s">
        <v>44</v>
      </c>
      <c r="D103" s="3" t="s">
        <v>31</v>
      </c>
      <c r="E103" s="4" t="n">
        <v>208</v>
      </c>
      <c r="F103" s="3" t="s">
        <v>24</v>
      </c>
      <c r="G103" s="3" t="s">
        <v>36</v>
      </c>
      <c r="I103" s="0" t="str">
        <f aca="false">TEXT(B103,"dddd")</f>
        <v>Wednesday</v>
      </c>
      <c r="J103" s="3" t="n">
        <f aca="false">WEEKNUM(B103,2)</f>
        <v>34</v>
      </c>
      <c r="K103" s="0" t="str">
        <f aca="false">C103&amp;" -&gt; "&amp;D103</f>
        <v>Wapda Town -&gt; Faisal Town</v>
      </c>
      <c r="L103" s="0" t="str">
        <f aca="false">IF(E103&lt;Params!$B$5,"Low",IF(E103&lt;=Params!$B$6,"Mid","High"))</f>
        <v>Low</v>
      </c>
    </row>
    <row r="104" customFormat="false" ht="15" hidden="false" customHeight="false" outlineLevel="0" collapsed="false">
      <c r="A104" s="0" t="s">
        <v>132</v>
      </c>
      <c r="B104" s="2" t="n">
        <v>46240</v>
      </c>
      <c r="C104" s="3" t="s">
        <v>40</v>
      </c>
      <c r="D104" s="3" t="s">
        <v>21</v>
      </c>
      <c r="E104" s="4" t="n">
        <v>876</v>
      </c>
      <c r="F104" s="3" t="s">
        <v>24</v>
      </c>
      <c r="G104" s="3" t="s">
        <v>16</v>
      </c>
      <c r="H104" s="0" t="n">
        <v>5</v>
      </c>
      <c r="I104" s="0" t="str">
        <f aca="false">TEXT(B104,"dddd")</f>
        <v>Thursday</v>
      </c>
      <c r="J104" s="3" t="n">
        <f aca="false">WEEKNUM(B104,2)</f>
        <v>32</v>
      </c>
      <c r="K104" s="0" t="str">
        <f aca="false">C104&amp;" -&gt; "&amp;D104</f>
        <v>Iqbal Town -&gt; Cantt</v>
      </c>
      <c r="L104" s="0" t="str">
        <f aca="false">IF(E104&lt;Params!$B$5,"Low",IF(E104&lt;=Params!$B$6,"Mid","High"))</f>
        <v>High</v>
      </c>
    </row>
    <row r="105" customFormat="false" ht="15" hidden="false" customHeight="false" outlineLevel="0" collapsed="false">
      <c r="A105" s="0" t="s">
        <v>133</v>
      </c>
      <c r="B105" s="2" t="n">
        <v>46257</v>
      </c>
      <c r="C105" s="3" t="s">
        <v>28</v>
      </c>
      <c r="D105" s="3" t="s">
        <v>14</v>
      </c>
      <c r="E105" s="4" t="n">
        <v>541</v>
      </c>
      <c r="F105" s="3" t="s">
        <v>15</v>
      </c>
      <c r="G105" s="3" t="s">
        <v>16</v>
      </c>
      <c r="H105" s="0" t="n">
        <v>4</v>
      </c>
      <c r="I105" s="0" t="str">
        <f aca="false">TEXT(B105,"dddd")</f>
        <v>Sunday</v>
      </c>
      <c r="J105" s="3" t="n">
        <f aca="false">WEEKNUM(B105,2)</f>
        <v>34</v>
      </c>
      <c r="K105" s="0" t="str">
        <f aca="false">C105&amp;" -&gt; "&amp;D105</f>
        <v>Johar Town -&gt; DHA</v>
      </c>
      <c r="L105" s="0" t="str">
        <f aca="false">IF(E105&lt;Params!$B$5,"Low",IF(E105&lt;=Params!$B$6,"Mid","High"))</f>
        <v>Low</v>
      </c>
    </row>
    <row r="106" customFormat="false" ht="15" hidden="false" customHeight="false" outlineLevel="0" collapsed="false">
      <c r="A106" s="0" t="s">
        <v>134</v>
      </c>
      <c r="B106" s="2" t="n">
        <v>46250</v>
      </c>
      <c r="C106" s="3" t="s">
        <v>23</v>
      </c>
      <c r="D106" s="3" t="s">
        <v>52</v>
      </c>
      <c r="E106" s="4" t="n">
        <v>1155</v>
      </c>
      <c r="F106" s="3" t="s">
        <v>24</v>
      </c>
      <c r="G106" s="3" t="s">
        <v>16</v>
      </c>
      <c r="H106" s="0" t="n">
        <v>3</v>
      </c>
      <c r="I106" s="0" t="str">
        <f aca="false">TEXT(B106,"dddd")</f>
        <v>Sunday</v>
      </c>
      <c r="J106" s="3" t="n">
        <f aca="false">WEEKNUM(B106,2)</f>
        <v>33</v>
      </c>
      <c r="K106" s="0" t="str">
        <f aca="false">C106&amp;" -&gt; "&amp;D106</f>
        <v>Model Town -&gt; Airport</v>
      </c>
      <c r="L106" s="0" t="str">
        <f aca="false">IF(E106&lt;Params!$B$5,"Low",IF(E106&lt;=Params!$B$6,"Mid","High"))</f>
        <v>High</v>
      </c>
    </row>
    <row r="107" customFormat="false" ht="15" hidden="false" customHeight="false" outlineLevel="0" collapsed="false">
      <c r="A107" s="0" t="s">
        <v>135</v>
      </c>
      <c r="B107" s="2" t="n">
        <v>46244</v>
      </c>
      <c r="C107" s="3" t="s">
        <v>23</v>
      </c>
      <c r="D107" s="3" t="s">
        <v>18</v>
      </c>
      <c r="E107" s="4" t="n">
        <v>648</v>
      </c>
      <c r="F107" s="3" t="s">
        <v>24</v>
      </c>
      <c r="G107" s="3" t="s">
        <v>16</v>
      </c>
      <c r="H107" s="0" t="n">
        <v>4</v>
      </c>
      <c r="I107" s="0" t="str">
        <f aca="false">TEXT(B107,"dddd")</f>
        <v>Monday</v>
      </c>
      <c r="J107" s="3" t="n">
        <f aca="false">WEEKNUM(B107,2)</f>
        <v>33</v>
      </c>
      <c r="K107" s="0" t="str">
        <f aca="false">C107&amp;" -&gt; "&amp;D107</f>
        <v>Model Town -&gt; Askari</v>
      </c>
      <c r="L107" s="0" t="str">
        <f aca="false">IF(E107&lt;Params!$B$5,"Low",IF(E107&lt;=Params!$B$6,"Mid","High"))</f>
        <v>Mid</v>
      </c>
    </row>
    <row r="108" customFormat="false" ht="15" hidden="false" customHeight="false" outlineLevel="0" collapsed="false">
      <c r="A108" s="0" t="s">
        <v>136</v>
      </c>
      <c r="B108" s="2" t="n">
        <v>46250</v>
      </c>
      <c r="C108" s="3" t="s">
        <v>26</v>
      </c>
      <c r="D108" s="3" t="s">
        <v>18</v>
      </c>
      <c r="E108" s="4" t="n">
        <v>827</v>
      </c>
      <c r="F108" s="3" t="s">
        <v>24</v>
      </c>
      <c r="G108" s="3" t="s">
        <v>16</v>
      </c>
      <c r="H108" s="0" t="n">
        <v>4</v>
      </c>
      <c r="I108" s="0" t="str">
        <f aca="false">TEXT(B108,"dddd")</f>
        <v>Sunday</v>
      </c>
      <c r="J108" s="3" t="n">
        <f aca="false">WEEKNUM(B108,2)</f>
        <v>33</v>
      </c>
      <c r="K108" s="0" t="str">
        <f aca="false">C108&amp;" -&gt; "&amp;D108</f>
        <v>Bahria Town -&gt; Askari</v>
      </c>
      <c r="L108" s="0" t="str">
        <f aca="false">IF(E108&lt;Params!$B$5,"Low",IF(E108&lt;=Params!$B$6,"Mid","High"))</f>
        <v>High</v>
      </c>
    </row>
    <row r="109" customFormat="false" ht="15" hidden="false" customHeight="false" outlineLevel="0" collapsed="false">
      <c r="A109" s="0" t="s">
        <v>137</v>
      </c>
      <c r="B109" s="2" t="n">
        <v>46244</v>
      </c>
      <c r="C109" s="3" t="s">
        <v>28</v>
      </c>
      <c r="D109" s="3" t="s">
        <v>21</v>
      </c>
      <c r="E109" s="4" t="n">
        <v>397</v>
      </c>
      <c r="F109" s="3" t="s">
        <v>29</v>
      </c>
      <c r="G109" s="3" t="s">
        <v>16</v>
      </c>
      <c r="H109" s="0" t="n">
        <v>3</v>
      </c>
      <c r="I109" s="0" t="str">
        <f aca="false">TEXT(B109,"dddd")</f>
        <v>Monday</v>
      </c>
      <c r="J109" s="3" t="n">
        <f aca="false">WEEKNUM(B109,2)</f>
        <v>33</v>
      </c>
      <c r="K109" s="0" t="str">
        <f aca="false">C109&amp;" -&gt; "&amp;D109</f>
        <v>Johar Town -&gt; Cantt</v>
      </c>
      <c r="L109" s="0" t="str">
        <f aca="false">IF(E109&lt;Params!$B$5,"Low",IF(E109&lt;=Params!$B$6,"Mid","High"))</f>
        <v>Low</v>
      </c>
    </row>
    <row r="110" customFormat="false" ht="15" hidden="false" customHeight="false" outlineLevel="0" collapsed="false">
      <c r="A110" s="0" t="s">
        <v>138</v>
      </c>
      <c r="B110" s="2" t="n">
        <v>46258</v>
      </c>
      <c r="C110" s="3" t="s">
        <v>14</v>
      </c>
      <c r="D110" s="3" t="s">
        <v>21</v>
      </c>
      <c r="E110" s="4" t="n">
        <v>593</v>
      </c>
      <c r="F110" s="3" t="s">
        <v>29</v>
      </c>
      <c r="G110" s="3" t="s">
        <v>16</v>
      </c>
      <c r="H110" s="0" t="n">
        <v>5</v>
      </c>
      <c r="I110" s="0" t="str">
        <f aca="false">TEXT(B110,"dddd")</f>
        <v>Monday</v>
      </c>
      <c r="J110" s="3" t="n">
        <f aca="false">WEEKNUM(B110,2)</f>
        <v>35</v>
      </c>
      <c r="K110" s="0" t="str">
        <f aca="false">C110&amp;" -&gt; "&amp;D110</f>
        <v>DHA -&gt; Cantt</v>
      </c>
      <c r="L110" s="0" t="str">
        <f aca="false">IF(E110&lt;Params!$B$5,"Low",IF(E110&lt;=Params!$B$6,"Mid","High"))</f>
        <v>Mid</v>
      </c>
    </row>
    <row r="111" customFormat="false" ht="15" hidden="false" customHeight="false" outlineLevel="0" collapsed="false">
      <c r="A111" s="0" t="s">
        <v>139</v>
      </c>
      <c r="B111" s="2" t="n">
        <v>46253</v>
      </c>
      <c r="C111" s="3" t="s">
        <v>28</v>
      </c>
      <c r="D111" s="3" t="s">
        <v>13</v>
      </c>
      <c r="E111" s="4" t="n">
        <v>547</v>
      </c>
      <c r="F111" s="3" t="s">
        <v>24</v>
      </c>
      <c r="G111" s="3" t="s">
        <v>16</v>
      </c>
      <c r="H111" s="0" t="n">
        <v>3</v>
      </c>
      <c r="I111" s="0" t="str">
        <f aca="false">TEXT(B111,"dddd")</f>
        <v>Wednesday</v>
      </c>
      <c r="J111" s="3" t="n">
        <f aca="false">WEEKNUM(B111,2)</f>
        <v>34</v>
      </c>
      <c r="K111" s="0" t="str">
        <f aca="false">C111&amp;" -&gt; "&amp;D111</f>
        <v>Johar Town -&gt; Gulberg</v>
      </c>
      <c r="L111" s="0" t="str">
        <f aca="false">IF(E111&lt;Params!$B$5,"Low",IF(E111&lt;=Params!$B$6,"Mid","High"))</f>
        <v>Low</v>
      </c>
    </row>
    <row r="112" customFormat="false" ht="15" hidden="false" customHeight="false" outlineLevel="0" collapsed="false">
      <c r="A112" s="0" t="s">
        <v>140</v>
      </c>
      <c r="B112" s="2" t="n">
        <v>46244</v>
      </c>
      <c r="C112" s="3" t="s">
        <v>20</v>
      </c>
      <c r="D112" s="3" t="s">
        <v>23</v>
      </c>
      <c r="E112" s="4" t="n">
        <v>711</v>
      </c>
      <c r="F112" s="3" t="s">
        <v>15</v>
      </c>
      <c r="G112" s="3" t="s">
        <v>36</v>
      </c>
      <c r="I112" s="0" t="str">
        <f aca="false">TEXT(B112,"dddd")</f>
        <v>Monday</v>
      </c>
      <c r="J112" s="3" t="n">
        <f aca="false">WEEKNUM(B112,2)</f>
        <v>33</v>
      </c>
      <c r="K112" s="0" t="str">
        <f aca="false">C112&amp;" -&gt; "&amp;D112</f>
        <v>Lahore -&gt; Model Town</v>
      </c>
      <c r="L112" s="0" t="str">
        <f aca="false">IF(E112&lt;Params!$B$5,"Low",IF(E112&lt;=Params!$B$6,"Mid","High"))</f>
        <v>Mid</v>
      </c>
    </row>
    <row r="113" customFormat="false" ht="15" hidden="false" customHeight="false" outlineLevel="0" collapsed="false">
      <c r="A113" s="0" t="s">
        <v>141</v>
      </c>
      <c r="B113" s="2" t="n">
        <v>46252</v>
      </c>
      <c r="C113" s="3" t="s">
        <v>28</v>
      </c>
      <c r="D113" s="3" t="s">
        <v>23</v>
      </c>
      <c r="E113" s="4" t="n">
        <v>1155</v>
      </c>
      <c r="F113" s="3" t="s">
        <v>15</v>
      </c>
      <c r="G113" s="3" t="s">
        <v>36</v>
      </c>
      <c r="I113" s="0" t="str">
        <f aca="false">TEXT(B113,"dddd")</f>
        <v>Tuesday</v>
      </c>
      <c r="J113" s="3" t="n">
        <f aca="false">WEEKNUM(B113,2)</f>
        <v>34</v>
      </c>
      <c r="K113" s="0" t="str">
        <f aca="false">C113&amp;" -&gt; "&amp;D113</f>
        <v>Johar Town -&gt; Model Town</v>
      </c>
      <c r="L113" s="0" t="str">
        <f aca="false">IF(E113&lt;Params!$B$5,"Low",IF(E113&lt;=Params!$B$6,"Mid","High"))</f>
        <v>High</v>
      </c>
    </row>
    <row r="114" customFormat="false" ht="15" hidden="false" customHeight="false" outlineLevel="0" collapsed="false">
      <c r="A114" s="0" t="s">
        <v>142</v>
      </c>
      <c r="B114" s="2" t="n">
        <v>46253</v>
      </c>
      <c r="C114" s="3" t="s">
        <v>28</v>
      </c>
      <c r="D114" s="3" t="s">
        <v>52</v>
      </c>
      <c r="E114" s="4" t="n">
        <v>1130</v>
      </c>
      <c r="F114" s="3" t="s">
        <v>24</v>
      </c>
      <c r="G114" s="3" t="s">
        <v>16</v>
      </c>
      <c r="H114" s="0" t="n">
        <v>3</v>
      </c>
      <c r="I114" s="0" t="str">
        <f aca="false">TEXT(B114,"dddd")</f>
        <v>Wednesday</v>
      </c>
      <c r="J114" s="3" t="n">
        <f aca="false">WEEKNUM(B114,2)</f>
        <v>34</v>
      </c>
      <c r="K114" s="0" t="str">
        <f aca="false">C114&amp;" -&gt; "&amp;D114</f>
        <v>Johar Town -&gt; Airport</v>
      </c>
      <c r="L114" s="0" t="str">
        <f aca="false">IF(E114&lt;Params!$B$5,"Low",IF(E114&lt;=Params!$B$6,"Mid","High"))</f>
        <v>High</v>
      </c>
    </row>
    <row r="115" customFormat="false" ht="15" hidden="false" customHeight="false" outlineLevel="0" collapsed="false">
      <c r="A115" s="0" t="s">
        <v>143</v>
      </c>
      <c r="B115" s="2" t="n">
        <v>46243</v>
      </c>
      <c r="C115" s="3" t="s">
        <v>40</v>
      </c>
      <c r="D115" s="3" t="s">
        <v>13</v>
      </c>
      <c r="E115" s="4" t="n">
        <v>283</v>
      </c>
      <c r="F115" s="3" t="s">
        <v>24</v>
      </c>
      <c r="G115" s="3" t="s">
        <v>16</v>
      </c>
      <c r="H115" s="0" t="n">
        <v>5</v>
      </c>
      <c r="I115" s="0" t="str">
        <f aca="false">TEXT(B115,"dddd")</f>
        <v>Sunday</v>
      </c>
      <c r="J115" s="3" t="n">
        <f aca="false">WEEKNUM(B115,2)</f>
        <v>32</v>
      </c>
      <c r="K115" s="0" t="str">
        <f aca="false">C115&amp;" -&gt; "&amp;D115</f>
        <v>Iqbal Town -&gt; Gulberg</v>
      </c>
      <c r="L115" s="0" t="str">
        <f aca="false">IF(E115&lt;Params!$B$5,"Low",IF(E115&lt;=Params!$B$6,"Mid","High"))</f>
        <v>Low</v>
      </c>
    </row>
    <row r="116" customFormat="false" ht="15" hidden="false" customHeight="false" outlineLevel="0" collapsed="false">
      <c r="A116" s="0" t="s">
        <v>144</v>
      </c>
      <c r="B116" s="2" t="n">
        <v>46255</v>
      </c>
      <c r="C116" s="3" t="s">
        <v>20</v>
      </c>
      <c r="D116" s="3" t="s">
        <v>23</v>
      </c>
      <c r="E116" s="4" t="n">
        <v>455</v>
      </c>
      <c r="F116" s="3" t="s">
        <v>29</v>
      </c>
      <c r="G116" s="3" t="s">
        <v>36</v>
      </c>
      <c r="I116" s="0" t="str">
        <f aca="false">TEXT(B116,"dddd")</f>
        <v>Friday</v>
      </c>
      <c r="J116" s="3" t="n">
        <f aca="false">WEEKNUM(B116,2)</f>
        <v>34</v>
      </c>
      <c r="K116" s="0" t="str">
        <f aca="false">C116&amp;" -&gt; "&amp;D116</f>
        <v>Lahore -&gt; Model Town</v>
      </c>
      <c r="L116" s="0" t="str">
        <f aca="false">IF(E116&lt;Params!$B$5,"Low",IF(E116&lt;=Params!$B$6,"Mid","High"))</f>
        <v>Low</v>
      </c>
    </row>
    <row r="117" customFormat="false" ht="15" hidden="false" customHeight="false" outlineLevel="0" collapsed="false">
      <c r="A117" s="0" t="s">
        <v>145</v>
      </c>
      <c r="B117" s="2" t="n">
        <v>46237</v>
      </c>
      <c r="C117" s="3" t="s">
        <v>23</v>
      </c>
      <c r="D117" s="3" t="s">
        <v>13</v>
      </c>
      <c r="E117" s="4" t="n">
        <v>1002</v>
      </c>
      <c r="F117" s="3" t="s">
        <v>29</v>
      </c>
      <c r="G117" s="3" t="s">
        <v>16</v>
      </c>
      <c r="H117" s="0" t="n">
        <v>5</v>
      </c>
      <c r="I117" s="0" t="str">
        <f aca="false">TEXT(B117,"dddd")</f>
        <v>Monday</v>
      </c>
      <c r="J117" s="3" t="n">
        <f aca="false">WEEKNUM(B117,2)</f>
        <v>32</v>
      </c>
      <c r="K117" s="0" t="str">
        <f aca="false">C117&amp;" -&gt; "&amp;D117</f>
        <v>Model Town -&gt; Gulberg</v>
      </c>
      <c r="L117" s="0" t="str">
        <f aca="false">IF(E117&lt;Params!$B$5,"Low",IF(E117&lt;=Params!$B$6,"Mid","High"))</f>
        <v>High</v>
      </c>
    </row>
    <row r="118" customFormat="false" ht="15" hidden="false" customHeight="false" outlineLevel="0" collapsed="false">
      <c r="A118" s="0" t="s">
        <v>146</v>
      </c>
      <c r="B118" s="2" t="n">
        <v>46242</v>
      </c>
      <c r="C118" s="3" t="s">
        <v>44</v>
      </c>
      <c r="D118" s="3" t="s">
        <v>52</v>
      </c>
      <c r="E118" s="4" t="n">
        <v>1056</v>
      </c>
      <c r="F118" s="3" t="s">
        <v>24</v>
      </c>
      <c r="G118" s="3" t="s">
        <v>36</v>
      </c>
      <c r="I118" s="0" t="str">
        <f aca="false">TEXT(B118,"dddd")</f>
        <v>Saturday</v>
      </c>
      <c r="J118" s="3" t="n">
        <f aca="false">WEEKNUM(B118,2)</f>
        <v>32</v>
      </c>
      <c r="K118" s="0" t="str">
        <f aca="false">C118&amp;" -&gt; "&amp;D118</f>
        <v>Wapda Town -&gt; Airport</v>
      </c>
      <c r="L118" s="0" t="str">
        <f aca="false">IF(E118&lt;Params!$B$5,"Low",IF(E118&lt;=Params!$B$6,"Mid","High"))</f>
        <v>High</v>
      </c>
    </row>
    <row r="119" customFormat="false" ht="15" hidden="false" customHeight="false" outlineLevel="0" collapsed="false">
      <c r="A119" s="0" t="s">
        <v>147</v>
      </c>
      <c r="B119" s="2" t="n">
        <v>46248</v>
      </c>
      <c r="C119" s="3" t="s">
        <v>28</v>
      </c>
      <c r="D119" s="3" t="s">
        <v>14</v>
      </c>
      <c r="E119" s="4" t="n">
        <v>353</v>
      </c>
      <c r="F119" s="3" t="s">
        <v>15</v>
      </c>
      <c r="G119" s="3" t="s">
        <v>16</v>
      </c>
      <c r="H119" s="0" t="n">
        <v>4</v>
      </c>
      <c r="I119" s="0" t="str">
        <f aca="false">TEXT(B119,"dddd")</f>
        <v>Friday</v>
      </c>
      <c r="J119" s="3" t="n">
        <f aca="false">WEEKNUM(B119,2)</f>
        <v>33</v>
      </c>
      <c r="K119" s="0" t="str">
        <f aca="false">C119&amp;" -&gt; "&amp;D119</f>
        <v>Johar Town -&gt; DHA</v>
      </c>
      <c r="L119" s="0" t="str">
        <f aca="false">IF(E119&lt;Params!$B$5,"Low",IF(E119&lt;=Params!$B$6,"Mid","High"))</f>
        <v>Low</v>
      </c>
    </row>
    <row r="120" customFormat="false" ht="15" hidden="false" customHeight="false" outlineLevel="0" collapsed="false">
      <c r="A120" s="0" t="s">
        <v>148</v>
      </c>
      <c r="B120" s="2" t="n">
        <v>46256</v>
      </c>
      <c r="C120" s="3" t="s">
        <v>13</v>
      </c>
      <c r="D120" s="3" t="s">
        <v>23</v>
      </c>
      <c r="E120" s="4" t="n">
        <v>641</v>
      </c>
      <c r="F120" s="3" t="s">
        <v>15</v>
      </c>
      <c r="G120" s="3" t="s">
        <v>16</v>
      </c>
      <c r="H120" s="0" t="n">
        <v>3</v>
      </c>
      <c r="I120" s="0" t="str">
        <f aca="false">TEXT(B120,"dddd")</f>
        <v>Saturday</v>
      </c>
      <c r="J120" s="3" t="n">
        <f aca="false">WEEKNUM(B120,2)</f>
        <v>34</v>
      </c>
      <c r="K120" s="0" t="str">
        <f aca="false">C120&amp;" -&gt; "&amp;D120</f>
        <v>Gulberg -&gt; Model Town</v>
      </c>
      <c r="L120" s="0" t="str">
        <f aca="false">IF(E120&lt;Params!$B$5,"Low",IF(E120&lt;=Params!$B$6,"Mid","High"))</f>
        <v>Mid</v>
      </c>
    </row>
    <row r="121" customFormat="false" ht="15" hidden="false" customHeight="false" outlineLevel="0" collapsed="false">
      <c r="A121" s="0" t="s">
        <v>149</v>
      </c>
      <c r="B121" s="2" t="n">
        <v>46235</v>
      </c>
      <c r="C121" s="3" t="s">
        <v>44</v>
      </c>
      <c r="D121" s="3" t="s">
        <v>52</v>
      </c>
      <c r="E121" s="4" t="n">
        <v>1112</v>
      </c>
      <c r="F121" s="3" t="s">
        <v>24</v>
      </c>
      <c r="G121" s="3" t="s">
        <v>16</v>
      </c>
      <c r="H121" s="0" t="n">
        <v>4</v>
      </c>
      <c r="I121" s="0" t="str">
        <f aca="false">TEXT(B121,"dddd")</f>
        <v>Saturday</v>
      </c>
      <c r="J121" s="3" t="n">
        <f aca="false">WEEKNUM(B121,2)</f>
        <v>31</v>
      </c>
      <c r="K121" s="0" t="str">
        <f aca="false">C121&amp;" -&gt; "&amp;D121</f>
        <v>Wapda Town -&gt; Airport</v>
      </c>
      <c r="L121" s="0" t="str">
        <f aca="false">IF(E121&lt;Params!$B$5,"Low",IF(E121&lt;=Params!$B$6,"Mid","High"))</f>
        <v>High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5" t="s">
        <v>150</v>
      </c>
    </row>
    <row r="2" customFormat="false" ht="22.35" hidden="false" customHeight="true" outlineLevel="0" collapsed="false">
      <c r="A2" s="6" t="s">
        <v>151</v>
      </c>
      <c r="B2" s="6"/>
      <c r="C2" s="6"/>
      <c r="D2" s="6"/>
    </row>
    <row r="4" customFormat="false" ht="15" hidden="false" customHeight="false" outlineLevel="0" collapsed="false">
      <c r="A4" s="7" t="s">
        <v>152</v>
      </c>
      <c r="B4" s="7" t="s">
        <v>153</v>
      </c>
    </row>
    <row r="5" customFormat="false" ht="15" hidden="false" customHeight="false" outlineLevel="0" collapsed="false">
      <c r="A5" s="0" t="s">
        <v>154</v>
      </c>
      <c r="B5" s="8" t="n">
        <v>548</v>
      </c>
    </row>
    <row r="6" customFormat="false" ht="15" hidden="false" customHeight="false" outlineLevel="0" collapsed="false">
      <c r="A6" s="0" t="s">
        <v>155</v>
      </c>
      <c r="B6" s="8" t="n">
        <v>822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9" t="s">
        <v>156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10" t="s">
        <v>157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1" t="s">
        <v>1</v>
      </c>
      <c r="B4" s="1" t="s">
        <v>158</v>
      </c>
      <c r="C4" s="1" t="s">
        <v>8</v>
      </c>
      <c r="D4" s="1" t="s">
        <v>9</v>
      </c>
      <c r="E4" s="1" t="s">
        <v>159</v>
      </c>
      <c r="F4" s="1" t="s">
        <v>160</v>
      </c>
    </row>
    <row r="5" customFormat="false" ht="15" hidden="false" customHeight="false" outlineLevel="0" collapsed="false">
      <c r="A5" s="2" t="n">
        <v>46235</v>
      </c>
      <c r="B5" s="3" t="n">
        <f aca="false">DAY(A5)</f>
        <v>1</v>
      </c>
      <c r="C5" s="0" t="str">
        <f aca="false">TEXT(A5,"dddd")</f>
        <v>Saturday</v>
      </c>
      <c r="D5" s="3" t="n">
        <f aca="false">WEEKNUM(A5,2)</f>
        <v>31</v>
      </c>
      <c r="E5" s="0" t="str">
        <f aca="false">TEXT(A5,"mmmm yyyy")</f>
        <v>August 2026</v>
      </c>
      <c r="F5" s="0" t="str">
        <f aca="false">IF(WEEKDAY(A5,2)&gt;5,"Yes","No")</f>
        <v>Yes</v>
      </c>
    </row>
    <row r="6" customFormat="false" ht="15" hidden="false" customHeight="false" outlineLevel="0" collapsed="false">
      <c r="A6" s="2" t="n">
        <v>46236</v>
      </c>
      <c r="B6" s="3" t="n">
        <f aca="false">DAY(A6)</f>
        <v>2</v>
      </c>
      <c r="C6" s="0" t="str">
        <f aca="false">TEXT(A6,"dddd")</f>
        <v>Sunday</v>
      </c>
      <c r="D6" s="3" t="n">
        <f aca="false">WEEKNUM(A6,2)</f>
        <v>31</v>
      </c>
      <c r="E6" s="0" t="str">
        <f aca="false">TEXT(A6,"mmmm yyyy")</f>
        <v>August 2026</v>
      </c>
      <c r="F6" s="0" t="str">
        <f aca="false">IF(WEEKDAY(A6,2)&gt;5,"Yes","No")</f>
        <v>Yes</v>
      </c>
    </row>
    <row r="7" customFormat="false" ht="15" hidden="false" customHeight="false" outlineLevel="0" collapsed="false">
      <c r="A7" s="2" t="n">
        <v>46237</v>
      </c>
      <c r="B7" s="3" t="n">
        <f aca="false">DAY(A7)</f>
        <v>3</v>
      </c>
      <c r="C7" s="0" t="str">
        <f aca="false">TEXT(A7,"dddd")</f>
        <v>Monday</v>
      </c>
      <c r="D7" s="3" t="n">
        <f aca="false">WEEKNUM(A7,2)</f>
        <v>32</v>
      </c>
      <c r="E7" s="0" t="str">
        <f aca="false">TEXT(A7,"mmmm yyyy")</f>
        <v>August 2026</v>
      </c>
      <c r="F7" s="0" t="str">
        <f aca="false">IF(WEEKDAY(A7,2)&gt;5,"Yes","No")</f>
        <v>No</v>
      </c>
    </row>
    <row r="8" customFormat="false" ht="15" hidden="false" customHeight="false" outlineLevel="0" collapsed="false">
      <c r="A8" s="2" t="n">
        <v>46238</v>
      </c>
      <c r="B8" s="3" t="n">
        <f aca="false">DAY(A8)</f>
        <v>4</v>
      </c>
      <c r="C8" s="0" t="str">
        <f aca="false">TEXT(A8,"dddd")</f>
        <v>Tuesday</v>
      </c>
      <c r="D8" s="3" t="n">
        <f aca="false">WEEKNUM(A8,2)</f>
        <v>32</v>
      </c>
      <c r="E8" s="0" t="str">
        <f aca="false">TEXT(A8,"mmmm yyyy")</f>
        <v>August 2026</v>
      </c>
      <c r="F8" s="0" t="str">
        <f aca="false">IF(WEEKDAY(A8,2)&gt;5,"Yes","No")</f>
        <v>No</v>
      </c>
    </row>
    <row r="9" customFormat="false" ht="15" hidden="false" customHeight="false" outlineLevel="0" collapsed="false">
      <c r="A9" s="2" t="n">
        <v>46239</v>
      </c>
      <c r="B9" s="3" t="n">
        <f aca="false">DAY(A9)</f>
        <v>5</v>
      </c>
      <c r="C9" s="0" t="str">
        <f aca="false">TEXT(A9,"dddd")</f>
        <v>Wednesday</v>
      </c>
      <c r="D9" s="3" t="n">
        <f aca="false">WEEKNUM(A9,2)</f>
        <v>32</v>
      </c>
      <c r="E9" s="0" t="str">
        <f aca="false">TEXT(A9,"mmmm yyyy")</f>
        <v>August 2026</v>
      </c>
      <c r="F9" s="0" t="str">
        <f aca="false">IF(WEEKDAY(A9,2)&gt;5,"Yes","No")</f>
        <v>No</v>
      </c>
    </row>
    <row r="10" customFormat="false" ht="15" hidden="false" customHeight="false" outlineLevel="0" collapsed="false">
      <c r="A10" s="2" t="n">
        <v>46240</v>
      </c>
      <c r="B10" s="3" t="n">
        <f aca="false">DAY(A10)</f>
        <v>6</v>
      </c>
      <c r="C10" s="0" t="str">
        <f aca="false">TEXT(A10,"dddd")</f>
        <v>Thursday</v>
      </c>
      <c r="D10" s="3" t="n">
        <f aca="false">WEEKNUM(A10,2)</f>
        <v>32</v>
      </c>
      <c r="E10" s="0" t="str">
        <f aca="false">TEXT(A10,"mmmm yyyy")</f>
        <v>August 2026</v>
      </c>
      <c r="F10" s="0" t="str">
        <f aca="false">IF(WEEKDAY(A10,2)&gt;5,"Yes","No")</f>
        <v>No</v>
      </c>
    </row>
    <row r="11" customFormat="false" ht="15" hidden="false" customHeight="false" outlineLevel="0" collapsed="false">
      <c r="A11" s="2" t="n">
        <v>46241</v>
      </c>
      <c r="B11" s="3" t="n">
        <f aca="false">DAY(A11)</f>
        <v>7</v>
      </c>
      <c r="C11" s="0" t="str">
        <f aca="false">TEXT(A11,"dddd")</f>
        <v>Friday</v>
      </c>
      <c r="D11" s="3" t="n">
        <f aca="false">WEEKNUM(A11,2)</f>
        <v>32</v>
      </c>
      <c r="E11" s="0" t="str">
        <f aca="false">TEXT(A11,"mmmm yyyy")</f>
        <v>August 2026</v>
      </c>
      <c r="F11" s="0" t="str">
        <f aca="false">IF(WEEKDAY(A11,2)&gt;5,"Yes","No")</f>
        <v>No</v>
      </c>
    </row>
    <row r="12" customFormat="false" ht="15" hidden="false" customHeight="false" outlineLevel="0" collapsed="false">
      <c r="A12" s="2" t="n">
        <v>46242</v>
      </c>
      <c r="B12" s="3" t="n">
        <f aca="false">DAY(A12)</f>
        <v>8</v>
      </c>
      <c r="C12" s="0" t="str">
        <f aca="false">TEXT(A12,"dddd")</f>
        <v>Saturday</v>
      </c>
      <c r="D12" s="3" t="n">
        <f aca="false">WEEKNUM(A12,2)</f>
        <v>32</v>
      </c>
      <c r="E12" s="0" t="str">
        <f aca="false">TEXT(A12,"mmmm yyyy")</f>
        <v>August 2026</v>
      </c>
      <c r="F12" s="0" t="str">
        <f aca="false">IF(WEEKDAY(A12,2)&gt;5,"Yes","No")</f>
        <v>Yes</v>
      </c>
    </row>
    <row r="13" customFormat="false" ht="15" hidden="false" customHeight="false" outlineLevel="0" collapsed="false">
      <c r="A13" s="2" t="n">
        <v>46243</v>
      </c>
      <c r="B13" s="3" t="n">
        <f aca="false">DAY(A13)</f>
        <v>9</v>
      </c>
      <c r="C13" s="0" t="str">
        <f aca="false">TEXT(A13,"dddd")</f>
        <v>Sunday</v>
      </c>
      <c r="D13" s="3" t="n">
        <f aca="false">WEEKNUM(A13,2)</f>
        <v>32</v>
      </c>
      <c r="E13" s="0" t="str">
        <f aca="false">TEXT(A13,"mmmm yyyy")</f>
        <v>August 2026</v>
      </c>
      <c r="F13" s="0" t="str">
        <f aca="false">IF(WEEKDAY(A13,2)&gt;5,"Yes","No")</f>
        <v>Yes</v>
      </c>
    </row>
    <row r="14" customFormat="false" ht="15" hidden="false" customHeight="false" outlineLevel="0" collapsed="false">
      <c r="A14" s="2" t="n">
        <v>46244</v>
      </c>
      <c r="B14" s="3" t="n">
        <f aca="false">DAY(A14)</f>
        <v>10</v>
      </c>
      <c r="C14" s="0" t="str">
        <f aca="false">TEXT(A14,"dddd")</f>
        <v>Monday</v>
      </c>
      <c r="D14" s="3" t="n">
        <f aca="false">WEEKNUM(A14,2)</f>
        <v>33</v>
      </c>
      <c r="E14" s="0" t="str">
        <f aca="false">TEXT(A14,"mmmm yyyy")</f>
        <v>August 2026</v>
      </c>
      <c r="F14" s="0" t="str">
        <f aca="false">IF(WEEKDAY(A14,2)&gt;5,"Yes","No")</f>
        <v>No</v>
      </c>
    </row>
    <row r="15" customFormat="false" ht="15" hidden="false" customHeight="false" outlineLevel="0" collapsed="false">
      <c r="A15" s="2" t="n">
        <v>46245</v>
      </c>
      <c r="B15" s="3" t="n">
        <f aca="false">DAY(A15)</f>
        <v>11</v>
      </c>
      <c r="C15" s="0" t="str">
        <f aca="false">TEXT(A15,"dddd")</f>
        <v>Tuesday</v>
      </c>
      <c r="D15" s="3" t="n">
        <f aca="false">WEEKNUM(A15,2)</f>
        <v>33</v>
      </c>
      <c r="E15" s="0" t="str">
        <f aca="false">TEXT(A15,"mmmm yyyy")</f>
        <v>August 2026</v>
      </c>
      <c r="F15" s="0" t="str">
        <f aca="false">IF(WEEKDAY(A15,2)&gt;5,"Yes","No")</f>
        <v>No</v>
      </c>
    </row>
    <row r="16" customFormat="false" ht="15" hidden="false" customHeight="false" outlineLevel="0" collapsed="false">
      <c r="A16" s="2" t="n">
        <v>46246</v>
      </c>
      <c r="B16" s="3" t="n">
        <f aca="false">DAY(A16)</f>
        <v>12</v>
      </c>
      <c r="C16" s="0" t="str">
        <f aca="false">TEXT(A16,"dddd")</f>
        <v>Wednesday</v>
      </c>
      <c r="D16" s="3" t="n">
        <f aca="false">WEEKNUM(A16,2)</f>
        <v>33</v>
      </c>
      <c r="E16" s="0" t="str">
        <f aca="false">TEXT(A16,"mmmm yyyy")</f>
        <v>August 2026</v>
      </c>
      <c r="F16" s="0" t="str">
        <f aca="false">IF(WEEKDAY(A16,2)&gt;5,"Yes","No")</f>
        <v>No</v>
      </c>
    </row>
    <row r="17" customFormat="false" ht="15" hidden="false" customHeight="false" outlineLevel="0" collapsed="false">
      <c r="A17" s="2" t="n">
        <v>46247</v>
      </c>
      <c r="B17" s="3" t="n">
        <f aca="false">DAY(A17)</f>
        <v>13</v>
      </c>
      <c r="C17" s="0" t="str">
        <f aca="false">TEXT(A17,"dddd")</f>
        <v>Thursday</v>
      </c>
      <c r="D17" s="3" t="n">
        <f aca="false">WEEKNUM(A17,2)</f>
        <v>33</v>
      </c>
      <c r="E17" s="0" t="str">
        <f aca="false">TEXT(A17,"mmmm yyyy")</f>
        <v>August 2026</v>
      </c>
      <c r="F17" s="0" t="str">
        <f aca="false">IF(WEEKDAY(A17,2)&gt;5,"Yes","No")</f>
        <v>No</v>
      </c>
    </row>
    <row r="18" customFormat="false" ht="15" hidden="false" customHeight="false" outlineLevel="0" collapsed="false">
      <c r="A18" s="2" t="n">
        <v>46248</v>
      </c>
      <c r="B18" s="3" t="n">
        <f aca="false">DAY(A18)</f>
        <v>14</v>
      </c>
      <c r="C18" s="0" t="str">
        <f aca="false">TEXT(A18,"dddd")</f>
        <v>Friday</v>
      </c>
      <c r="D18" s="3" t="n">
        <f aca="false">WEEKNUM(A18,2)</f>
        <v>33</v>
      </c>
      <c r="E18" s="0" t="str">
        <f aca="false">TEXT(A18,"mmmm yyyy")</f>
        <v>August 2026</v>
      </c>
      <c r="F18" s="0" t="str">
        <f aca="false">IF(WEEKDAY(A18,2)&gt;5,"Yes","No")</f>
        <v>No</v>
      </c>
    </row>
    <row r="19" customFormat="false" ht="15" hidden="false" customHeight="false" outlineLevel="0" collapsed="false">
      <c r="A19" s="2" t="n">
        <v>46249</v>
      </c>
      <c r="B19" s="3" t="n">
        <f aca="false">DAY(A19)</f>
        <v>15</v>
      </c>
      <c r="C19" s="0" t="str">
        <f aca="false">TEXT(A19,"dddd")</f>
        <v>Saturday</v>
      </c>
      <c r="D19" s="3" t="n">
        <f aca="false">WEEKNUM(A19,2)</f>
        <v>33</v>
      </c>
      <c r="E19" s="0" t="str">
        <f aca="false">TEXT(A19,"mmmm yyyy")</f>
        <v>August 2026</v>
      </c>
      <c r="F19" s="0" t="str">
        <f aca="false">IF(WEEKDAY(A19,2)&gt;5,"Yes","No")</f>
        <v>Yes</v>
      </c>
    </row>
    <row r="20" customFormat="false" ht="15" hidden="false" customHeight="false" outlineLevel="0" collapsed="false">
      <c r="A20" s="2" t="n">
        <v>46250</v>
      </c>
      <c r="B20" s="3" t="n">
        <f aca="false">DAY(A20)</f>
        <v>16</v>
      </c>
      <c r="C20" s="0" t="str">
        <f aca="false">TEXT(A20,"dddd")</f>
        <v>Sunday</v>
      </c>
      <c r="D20" s="3" t="n">
        <f aca="false">WEEKNUM(A20,2)</f>
        <v>33</v>
      </c>
      <c r="E20" s="0" t="str">
        <f aca="false">TEXT(A20,"mmmm yyyy")</f>
        <v>August 2026</v>
      </c>
      <c r="F20" s="0" t="str">
        <f aca="false">IF(WEEKDAY(A20,2)&gt;5,"Yes","No")</f>
        <v>Yes</v>
      </c>
    </row>
    <row r="21" customFormat="false" ht="15" hidden="false" customHeight="false" outlineLevel="0" collapsed="false">
      <c r="A21" s="2" t="n">
        <v>46251</v>
      </c>
      <c r="B21" s="3" t="n">
        <f aca="false">DAY(A21)</f>
        <v>17</v>
      </c>
      <c r="C21" s="0" t="str">
        <f aca="false">TEXT(A21,"dddd")</f>
        <v>Monday</v>
      </c>
      <c r="D21" s="3" t="n">
        <f aca="false">WEEKNUM(A21,2)</f>
        <v>34</v>
      </c>
      <c r="E21" s="0" t="str">
        <f aca="false">TEXT(A21,"mmmm yyyy")</f>
        <v>August 2026</v>
      </c>
      <c r="F21" s="0" t="str">
        <f aca="false">IF(WEEKDAY(A21,2)&gt;5,"Yes","No")</f>
        <v>No</v>
      </c>
    </row>
    <row r="22" customFormat="false" ht="15" hidden="false" customHeight="false" outlineLevel="0" collapsed="false">
      <c r="A22" s="2" t="n">
        <v>46252</v>
      </c>
      <c r="B22" s="3" t="n">
        <f aca="false">DAY(A22)</f>
        <v>18</v>
      </c>
      <c r="C22" s="0" t="str">
        <f aca="false">TEXT(A22,"dddd")</f>
        <v>Tuesday</v>
      </c>
      <c r="D22" s="3" t="n">
        <f aca="false">WEEKNUM(A22,2)</f>
        <v>34</v>
      </c>
      <c r="E22" s="0" t="str">
        <f aca="false">TEXT(A22,"mmmm yyyy")</f>
        <v>August 2026</v>
      </c>
      <c r="F22" s="0" t="str">
        <f aca="false">IF(WEEKDAY(A22,2)&gt;5,"Yes","No")</f>
        <v>No</v>
      </c>
    </row>
    <row r="23" customFormat="false" ht="15" hidden="false" customHeight="false" outlineLevel="0" collapsed="false">
      <c r="A23" s="2" t="n">
        <v>46253</v>
      </c>
      <c r="B23" s="3" t="n">
        <f aca="false">DAY(A23)</f>
        <v>19</v>
      </c>
      <c r="C23" s="0" t="str">
        <f aca="false">TEXT(A23,"dddd")</f>
        <v>Wednesday</v>
      </c>
      <c r="D23" s="3" t="n">
        <f aca="false">WEEKNUM(A23,2)</f>
        <v>34</v>
      </c>
      <c r="E23" s="0" t="str">
        <f aca="false">TEXT(A23,"mmmm yyyy")</f>
        <v>August 2026</v>
      </c>
      <c r="F23" s="0" t="str">
        <f aca="false">IF(WEEKDAY(A23,2)&gt;5,"Yes","No")</f>
        <v>No</v>
      </c>
    </row>
    <row r="24" customFormat="false" ht="15" hidden="false" customHeight="false" outlineLevel="0" collapsed="false">
      <c r="A24" s="2" t="n">
        <v>46254</v>
      </c>
      <c r="B24" s="3" t="n">
        <f aca="false">DAY(A24)</f>
        <v>20</v>
      </c>
      <c r="C24" s="0" t="str">
        <f aca="false">TEXT(A24,"dddd")</f>
        <v>Thursday</v>
      </c>
      <c r="D24" s="3" t="n">
        <f aca="false">WEEKNUM(A24,2)</f>
        <v>34</v>
      </c>
      <c r="E24" s="0" t="str">
        <f aca="false">TEXT(A24,"mmmm yyyy")</f>
        <v>August 2026</v>
      </c>
      <c r="F24" s="0" t="str">
        <f aca="false">IF(WEEKDAY(A24,2)&gt;5,"Yes","No")</f>
        <v>No</v>
      </c>
    </row>
    <row r="25" customFormat="false" ht="15" hidden="false" customHeight="false" outlineLevel="0" collapsed="false">
      <c r="A25" s="2" t="n">
        <v>46255</v>
      </c>
      <c r="B25" s="3" t="n">
        <f aca="false">DAY(A25)</f>
        <v>21</v>
      </c>
      <c r="C25" s="0" t="str">
        <f aca="false">TEXT(A25,"dddd")</f>
        <v>Friday</v>
      </c>
      <c r="D25" s="3" t="n">
        <f aca="false">WEEKNUM(A25,2)</f>
        <v>34</v>
      </c>
      <c r="E25" s="0" t="str">
        <f aca="false">TEXT(A25,"mmmm yyyy")</f>
        <v>August 2026</v>
      </c>
      <c r="F25" s="0" t="str">
        <f aca="false">IF(WEEKDAY(A25,2)&gt;5,"Yes","No")</f>
        <v>No</v>
      </c>
    </row>
    <row r="26" customFormat="false" ht="15" hidden="false" customHeight="false" outlineLevel="0" collapsed="false">
      <c r="A26" s="2" t="n">
        <v>46256</v>
      </c>
      <c r="B26" s="3" t="n">
        <f aca="false">DAY(A26)</f>
        <v>22</v>
      </c>
      <c r="C26" s="0" t="str">
        <f aca="false">TEXT(A26,"dddd")</f>
        <v>Saturday</v>
      </c>
      <c r="D26" s="3" t="n">
        <f aca="false">WEEKNUM(A26,2)</f>
        <v>34</v>
      </c>
      <c r="E26" s="0" t="str">
        <f aca="false">TEXT(A26,"mmmm yyyy")</f>
        <v>August 2026</v>
      </c>
      <c r="F26" s="0" t="str">
        <f aca="false">IF(WEEKDAY(A26,2)&gt;5,"Yes","No")</f>
        <v>Yes</v>
      </c>
    </row>
    <row r="27" customFormat="false" ht="15" hidden="false" customHeight="false" outlineLevel="0" collapsed="false">
      <c r="A27" s="2" t="n">
        <v>46257</v>
      </c>
      <c r="B27" s="3" t="n">
        <f aca="false">DAY(A27)</f>
        <v>23</v>
      </c>
      <c r="C27" s="0" t="str">
        <f aca="false">TEXT(A27,"dddd")</f>
        <v>Sunday</v>
      </c>
      <c r="D27" s="3" t="n">
        <f aca="false">WEEKNUM(A27,2)</f>
        <v>34</v>
      </c>
      <c r="E27" s="0" t="str">
        <f aca="false">TEXT(A27,"mmmm yyyy")</f>
        <v>August 2026</v>
      </c>
      <c r="F27" s="0" t="str">
        <f aca="false">IF(WEEKDAY(A27,2)&gt;5,"Yes","No")</f>
        <v>Yes</v>
      </c>
    </row>
    <row r="28" customFormat="false" ht="15" hidden="false" customHeight="false" outlineLevel="0" collapsed="false">
      <c r="A28" s="2" t="n">
        <v>46258</v>
      </c>
      <c r="B28" s="3" t="n">
        <f aca="false">DAY(A28)</f>
        <v>24</v>
      </c>
      <c r="C28" s="0" t="str">
        <f aca="false">TEXT(A28,"dddd")</f>
        <v>Monday</v>
      </c>
      <c r="D28" s="3" t="n">
        <f aca="false">WEEKNUM(A28,2)</f>
        <v>35</v>
      </c>
      <c r="E28" s="0" t="str">
        <f aca="false">TEXT(A28,"mmmm yyyy")</f>
        <v>August 2026</v>
      </c>
      <c r="F28" s="0" t="str">
        <f aca="false">IF(WEEKDAY(A28,2)&gt;5,"Yes","No")</f>
        <v>No</v>
      </c>
    </row>
    <row r="29" customFormat="false" ht="15" hidden="false" customHeight="false" outlineLevel="0" collapsed="false">
      <c r="A29" s="2" t="n">
        <v>46259</v>
      </c>
      <c r="B29" s="3" t="n">
        <f aca="false">DAY(A29)</f>
        <v>25</v>
      </c>
      <c r="C29" s="0" t="str">
        <f aca="false">TEXT(A29,"dddd")</f>
        <v>Tuesday</v>
      </c>
      <c r="D29" s="3" t="n">
        <f aca="false">WEEKNUM(A29,2)</f>
        <v>35</v>
      </c>
      <c r="E29" s="0" t="str">
        <f aca="false">TEXT(A29,"mmmm yyyy")</f>
        <v>August 2026</v>
      </c>
      <c r="F29" s="0" t="str">
        <f aca="false">IF(WEEKDAY(A29,2)&gt;5,"Yes","No")</f>
        <v>No</v>
      </c>
    </row>
    <row r="30" customFormat="false" ht="15" hidden="false" customHeight="false" outlineLevel="0" collapsed="false">
      <c r="A30" s="2" t="n">
        <v>46260</v>
      </c>
      <c r="B30" s="3" t="n">
        <f aca="false">DAY(A30)</f>
        <v>26</v>
      </c>
      <c r="C30" s="0" t="str">
        <f aca="false">TEXT(A30,"dddd")</f>
        <v>Wednesday</v>
      </c>
      <c r="D30" s="3" t="n">
        <f aca="false">WEEKNUM(A30,2)</f>
        <v>35</v>
      </c>
      <c r="E30" s="0" t="str">
        <f aca="false">TEXT(A30,"mmmm yyyy")</f>
        <v>August 2026</v>
      </c>
      <c r="F30" s="0" t="str">
        <f aca="false">IF(WEEKDAY(A30,2)&gt;5,"Yes","No")</f>
        <v>No</v>
      </c>
    </row>
    <row r="31" customFormat="false" ht="15" hidden="false" customHeight="false" outlineLevel="0" collapsed="false">
      <c r="A31" s="2" t="n">
        <v>46261</v>
      </c>
      <c r="B31" s="3" t="n">
        <f aca="false">DAY(A31)</f>
        <v>27</v>
      </c>
      <c r="C31" s="0" t="str">
        <f aca="false">TEXT(A31,"dddd")</f>
        <v>Thursday</v>
      </c>
      <c r="D31" s="3" t="n">
        <f aca="false">WEEKNUM(A31,2)</f>
        <v>35</v>
      </c>
      <c r="E31" s="0" t="str">
        <f aca="false">TEXT(A31,"mmmm yyyy")</f>
        <v>August 2026</v>
      </c>
      <c r="F31" s="0" t="str">
        <f aca="false">IF(WEEKDAY(A31,2)&gt;5,"Yes","No")</f>
        <v>No</v>
      </c>
    </row>
    <row r="32" customFormat="false" ht="15" hidden="false" customHeight="false" outlineLevel="0" collapsed="false">
      <c r="A32" s="2" t="n">
        <v>46262</v>
      </c>
      <c r="B32" s="3" t="n">
        <f aca="false">DAY(A32)</f>
        <v>28</v>
      </c>
      <c r="C32" s="0" t="str">
        <f aca="false">TEXT(A32,"dddd")</f>
        <v>Friday</v>
      </c>
      <c r="D32" s="3" t="n">
        <f aca="false">WEEKNUM(A32,2)</f>
        <v>35</v>
      </c>
      <c r="E32" s="0" t="str">
        <f aca="false">TEXT(A32,"mmmm yyyy")</f>
        <v>August 2026</v>
      </c>
      <c r="F32" s="0" t="str">
        <f aca="false">IF(WEEKDAY(A32,2)&gt;5,"Yes","No")</f>
        <v>No</v>
      </c>
    </row>
    <row r="33" customFormat="false" ht="15" hidden="false" customHeight="false" outlineLevel="0" collapsed="false">
      <c r="A33" s="2" t="n">
        <v>46263</v>
      </c>
      <c r="B33" s="3" t="n">
        <f aca="false">DAY(A33)</f>
        <v>29</v>
      </c>
      <c r="C33" s="0" t="str">
        <f aca="false">TEXT(A33,"dddd")</f>
        <v>Saturday</v>
      </c>
      <c r="D33" s="3" t="n">
        <f aca="false">WEEKNUM(A33,2)</f>
        <v>35</v>
      </c>
      <c r="E33" s="0" t="str">
        <f aca="false">TEXT(A33,"mmmm yyyy")</f>
        <v>August 2026</v>
      </c>
      <c r="F33" s="0" t="str">
        <f aca="false">IF(WEEKDAY(A33,2)&gt;5,"Yes","No")</f>
        <v>Yes</v>
      </c>
    </row>
    <row r="34" customFormat="false" ht="15" hidden="false" customHeight="false" outlineLevel="0" collapsed="false">
      <c r="A34" s="2" t="n">
        <v>46264</v>
      </c>
      <c r="B34" s="3" t="n">
        <f aca="false">DAY(A34)</f>
        <v>30</v>
      </c>
      <c r="C34" s="0" t="str">
        <f aca="false">TEXT(A34,"dddd")</f>
        <v>Sunday</v>
      </c>
      <c r="D34" s="3" t="n">
        <f aca="false">WEEKNUM(A34,2)</f>
        <v>35</v>
      </c>
      <c r="E34" s="0" t="str">
        <f aca="false">TEXT(A34,"mmmm yyyy")</f>
        <v>August 2026</v>
      </c>
      <c r="F34" s="0" t="str">
        <f aca="false">IF(WEEKDAY(A34,2)&gt;5,"Yes","No")</f>
        <v>Yes</v>
      </c>
    </row>
    <row r="35" customFormat="false" ht="15" hidden="false" customHeight="false" outlineLevel="0" collapsed="false">
      <c r="A35" s="2" t="n">
        <v>46265</v>
      </c>
      <c r="B35" s="3" t="n">
        <f aca="false">DAY(A35)</f>
        <v>31</v>
      </c>
      <c r="C35" s="0" t="str">
        <f aca="false">TEXT(A35,"dddd")</f>
        <v>Monday</v>
      </c>
      <c r="D35" s="3" t="n">
        <f aca="false">WEEKNUM(A35,2)</f>
        <v>36</v>
      </c>
      <c r="E35" s="0" t="str">
        <f aca="false">TEXT(A35,"mmmm yyyy")</f>
        <v>August 2026</v>
      </c>
      <c r="F35" s="0" t="str">
        <f aca="false">IF(WEEKDAY(A35,2)&gt;5,"Yes","No")</f>
        <v>No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9" t="s">
        <v>161</v>
      </c>
      <c r="B1" s="9"/>
      <c r="C1" s="9"/>
      <c r="D1" s="9"/>
    </row>
    <row r="2" customFormat="false" ht="15" hidden="false" customHeight="false" outlineLevel="0" collapsed="false">
      <c r="A2" s="10" t="s">
        <v>162</v>
      </c>
      <c r="B2" s="10"/>
      <c r="C2" s="10"/>
      <c r="D2" s="10"/>
    </row>
    <row r="4" customFormat="false" ht="15" hidden="false" customHeight="false" outlineLevel="0" collapsed="false">
      <c r="A4" s="1" t="s">
        <v>163</v>
      </c>
      <c r="B4" s="1" t="s">
        <v>153</v>
      </c>
      <c r="C4" s="1" t="s">
        <v>164</v>
      </c>
    </row>
    <row r="5" customFormat="false" ht="15" hidden="false" customHeight="false" outlineLevel="0" collapsed="false">
      <c r="A5" s="11" t="s">
        <v>165</v>
      </c>
      <c r="B5" s="12" t="n">
        <f aca="false">COUNTA('Raw Data'!$A$2:$A$121)</f>
        <v>120</v>
      </c>
      <c r="C5" s="3" t="s">
        <v>166</v>
      </c>
    </row>
    <row r="6" customFormat="false" ht="15" hidden="false" customHeight="false" outlineLevel="0" collapsed="false">
      <c r="A6" s="11" t="s">
        <v>167</v>
      </c>
      <c r="B6" s="12" t="n">
        <f aca="false">COUNTIF('Raw Data'!$G$2:$G$121,"Completed")</f>
        <v>96</v>
      </c>
      <c r="C6" s="3" t="s">
        <v>168</v>
      </c>
    </row>
    <row r="7" customFormat="false" ht="15" hidden="false" customHeight="false" outlineLevel="0" collapsed="false">
      <c r="A7" s="11" t="s">
        <v>169</v>
      </c>
      <c r="B7" s="12" t="n">
        <f aca="false">COUNTIF('Raw Data'!$G$2:$G$121,"Cancelled")</f>
        <v>24</v>
      </c>
      <c r="C7" s="3" t="s">
        <v>170</v>
      </c>
    </row>
    <row r="8" customFormat="false" ht="15" hidden="false" customHeight="false" outlineLevel="0" collapsed="false">
      <c r="A8" s="11" t="s">
        <v>171</v>
      </c>
      <c r="B8" s="13" t="n">
        <f aca="false">B6/B5</f>
        <v>0.8</v>
      </c>
    </row>
    <row r="9" customFormat="false" ht="15" hidden="false" customHeight="false" outlineLevel="0" collapsed="false">
      <c r="A9" s="11" t="s">
        <v>172</v>
      </c>
      <c r="B9" s="13" t="n">
        <f aca="false">B7/B5</f>
        <v>0.2</v>
      </c>
    </row>
    <row r="10" customFormat="false" ht="15" hidden="false" customHeight="false" outlineLevel="0" collapsed="false">
      <c r="A10" s="11" t="s">
        <v>173</v>
      </c>
      <c r="B10" s="4" t="n">
        <f aca="false">SUMIF('Raw Data'!$G$2:$G$121,"Completed",'Raw Data'!$E$2:$E$121)</f>
        <v>65427</v>
      </c>
      <c r="C10" s="3" t="s">
        <v>174</v>
      </c>
    </row>
    <row r="11" customFormat="false" ht="15" hidden="false" customHeight="false" outlineLevel="0" collapsed="false">
      <c r="A11" s="11" t="s">
        <v>175</v>
      </c>
      <c r="B11" s="4" t="n">
        <f aca="false">AVERAGEIF('Raw Data'!$G$2:$G$121,"Completed",'Raw Data'!$E$2:$E$121)</f>
        <v>681.53125</v>
      </c>
    </row>
    <row r="12" customFormat="false" ht="15" hidden="false" customHeight="false" outlineLevel="0" collapsed="false">
      <c r="A12" s="11" t="s">
        <v>176</v>
      </c>
      <c r="B12" s="4" t="n">
        <f aca="false">B10/B6</f>
        <v>681.53125</v>
      </c>
      <c r="C12" s="3" t="s">
        <v>177</v>
      </c>
    </row>
    <row r="13" customFormat="false" ht="15" hidden="false" customHeight="false" outlineLevel="0" collapsed="false">
      <c r="A13" s="11" t="s">
        <v>178</v>
      </c>
      <c r="B13" s="14" t="n">
        <f aca="false">AVERAGE('Raw Data'!$H$2:$H$121)</f>
        <v>3.95833333333333</v>
      </c>
      <c r="C13" s="3" t="s">
        <v>179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9" t="s">
        <v>180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10" t="s">
        <v>181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1" t="s">
        <v>8</v>
      </c>
      <c r="B4" s="1" t="s">
        <v>165</v>
      </c>
      <c r="C4" s="1" t="s">
        <v>16</v>
      </c>
      <c r="D4" s="1" t="s">
        <v>36</v>
      </c>
      <c r="E4" s="1" t="s">
        <v>172</v>
      </c>
      <c r="F4" s="1" t="s">
        <v>182</v>
      </c>
    </row>
    <row r="5" customFormat="false" ht="15" hidden="false" customHeight="false" outlineLevel="0" collapsed="false">
      <c r="A5" s="0" t="s">
        <v>183</v>
      </c>
      <c r="B5" s="0" t="n">
        <f aca="false">COUNTIF('Raw Data'!$I$2:$I$121,A5)</f>
        <v>20</v>
      </c>
      <c r="C5" s="0" t="n">
        <f aca="false">COUNTIFS('Raw Data'!$I$2:$I$121,A5,'Raw Data'!$G$2:$G$121,"Completed")</f>
        <v>16</v>
      </c>
      <c r="D5" s="0" t="n">
        <f aca="false">COUNTIFS('Raw Data'!$I$2:$I$121,A5,'Raw Data'!$G$2:$G$121,"Cancelled")</f>
        <v>4</v>
      </c>
      <c r="E5" s="13" t="n">
        <f aca="false">D5/B5</f>
        <v>0.2</v>
      </c>
      <c r="F5" s="4" t="n">
        <f aca="false">SUMIFS('Raw Data'!$E$2:$E$121,'Raw Data'!$I$2:$I$121,A5,'Raw Data'!$G$2:$G$121,"Completed")</f>
        <v>10323</v>
      </c>
    </row>
    <row r="6" customFormat="false" ht="15" hidden="false" customHeight="false" outlineLevel="0" collapsed="false">
      <c r="A6" s="0" t="s">
        <v>184</v>
      </c>
      <c r="B6" s="0" t="n">
        <f aca="false">COUNTIF('Raw Data'!$I$2:$I$121,A6)</f>
        <v>13</v>
      </c>
      <c r="C6" s="0" t="n">
        <f aca="false">COUNTIFS('Raw Data'!$I$2:$I$121,A6,'Raw Data'!$G$2:$G$121,"Completed")</f>
        <v>12</v>
      </c>
      <c r="D6" s="0" t="n">
        <f aca="false">COUNTIFS('Raw Data'!$I$2:$I$121,A6,'Raw Data'!$G$2:$G$121,"Cancelled")</f>
        <v>1</v>
      </c>
      <c r="E6" s="13" t="n">
        <f aca="false">D6/B6</f>
        <v>0.0769230769230769</v>
      </c>
      <c r="F6" s="4" t="n">
        <f aca="false">SUMIFS('Raw Data'!$E$2:$E$121,'Raw Data'!$I$2:$I$121,A6,'Raw Data'!$G$2:$G$121,"Completed")</f>
        <v>7546</v>
      </c>
    </row>
    <row r="7" customFormat="false" ht="15" hidden="false" customHeight="false" outlineLevel="0" collapsed="false">
      <c r="A7" s="0" t="s">
        <v>185</v>
      </c>
      <c r="B7" s="0" t="n">
        <f aca="false">COUNTIF('Raw Data'!$I$2:$I$121,A7)</f>
        <v>18</v>
      </c>
      <c r="C7" s="0" t="n">
        <f aca="false">COUNTIFS('Raw Data'!$I$2:$I$121,A7,'Raw Data'!$G$2:$G$121,"Completed")</f>
        <v>17</v>
      </c>
      <c r="D7" s="0" t="n">
        <f aca="false">COUNTIFS('Raw Data'!$I$2:$I$121,A7,'Raw Data'!$G$2:$G$121,"Cancelled")</f>
        <v>1</v>
      </c>
      <c r="E7" s="13" t="n">
        <f aca="false">D7/B7</f>
        <v>0.0555555555555556</v>
      </c>
      <c r="F7" s="4" t="n">
        <f aca="false">SUMIFS('Raw Data'!$E$2:$E$121,'Raw Data'!$I$2:$I$121,A7,'Raw Data'!$G$2:$G$121,"Completed")</f>
        <v>11667</v>
      </c>
    </row>
    <row r="8" customFormat="false" ht="15" hidden="false" customHeight="false" outlineLevel="0" collapsed="false">
      <c r="A8" s="0" t="s">
        <v>186</v>
      </c>
      <c r="B8" s="0" t="n">
        <f aca="false">COUNTIF('Raw Data'!$I$2:$I$121,A8)</f>
        <v>9</v>
      </c>
      <c r="C8" s="0" t="n">
        <f aca="false">COUNTIFS('Raw Data'!$I$2:$I$121,A8,'Raw Data'!$G$2:$G$121,"Completed")</f>
        <v>9</v>
      </c>
      <c r="D8" s="0" t="n">
        <f aca="false">COUNTIFS('Raw Data'!$I$2:$I$121,A8,'Raw Data'!$G$2:$G$121,"Cancelled")</f>
        <v>0</v>
      </c>
      <c r="E8" s="13" t="n">
        <f aca="false">D8/B8</f>
        <v>0</v>
      </c>
      <c r="F8" s="4" t="n">
        <f aca="false">SUMIFS('Raw Data'!$E$2:$E$121,'Raw Data'!$I$2:$I$121,A8,'Raw Data'!$G$2:$G$121,"Completed")</f>
        <v>5483</v>
      </c>
    </row>
    <row r="9" customFormat="false" ht="15" hidden="false" customHeight="false" outlineLevel="0" collapsed="false">
      <c r="A9" s="0" t="s">
        <v>187</v>
      </c>
      <c r="B9" s="0" t="n">
        <f aca="false">COUNTIF('Raw Data'!$I$2:$I$121,A9)</f>
        <v>14</v>
      </c>
      <c r="C9" s="0" t="n">
        <f aca="false">COUNTIFS('Raw Data'!$I$2:$I$121,A9,'Raw Data'!$G$2:$G$121,"Completed")</f>
        <v>11</v>
      </c>
      <c r="D9" s="0" t="n">
        <f aca="false">COUNTIFS('Raw Data'!$I$2:$I$121,A9,'Raw Data'!$G$2:$G$121,"Cancelled")</f>
        <v>3</v>
      </c>
      <c r="E9" s="13" t="n">
        <f aca="false">D9/B9</f>
        <v>0.214285714285714</v>
      </c>
      <c r="F9" s="4" t="n">
        <f aca="false">SUMIFS('Raw Data'!$E$2:$E$121,'Raw Data'!$I$2:$I$121,A9,'Raw Data'!$G$2:$G$121,"Completed")</f>
        <v>9176</v>
      </c>
    </row>
    <row r="10" customFormat="false" ht="15" hidden="false" customHeight="false" outlineLevel="0" collapsed="false">
      <c r="A10" s="0" t="s">
        <v>188</v>
      </c>
      <c r="B10" s="0" t="n">
        <f aca="false">COUNTIF('Raw Data'!$I$2:$I$121,A10)</f>
        <v>23</v>
      </c>
      <c r="C10" s="0" t="n">
        <f aca="false">COUNTIFS('Raw Data'!$I$2:$I$121,A10,'Raw Data'!$G$2:$G$121,"Completed")</f>
        <v>14</v>
      </c>
      <c r="D10" s="0" t="n">
        <f aca="false">COUNTIFS('Raw Data'!$I$2:$I$121,A10,'Raw Data'!$G$2:$G$121,"Cancelled")</f>
        <v>9</v>
      </c>
      <c r="E10" s="13" t="n">
        <f aca="false">D10/B10</f>
        <v>0.391304347826087</v>
      </c>
      <c r="F10" s="4" t="n">
        <f aca="false">SUMIFS('Raw Data'!$E$2:$E$121,'Raw Data'!$I$2:$I$121,A10,'Raw Data'!$G$2:$G$121,"Completed")</f>
        <v>9322</v>
      </c>
    </row>
    <row r="11" customFormat="false" ht="15" hidden="false" customHeight="false" outlineLevel="0" collapsed="false">
      <c r="A11" s="0" t="s">
        <v>189</v>
      </c>
      <c r="B11" s="0" t="n">
        <f aca="false">COUNTIF('Raw Data'!$I$2:$I$121,A11)</f>
        <v>23</v>
      </c>
      <c r="C11" s="0" t="n">
        <f aca="false">COUNTIFS('Raw Data'!$I$2:$I$121,A11,'Raw Data'!$G$2:$G$121,"Completed")</f>
        <v>17</v>
      </c>
      <c r="D11" s="0" t="n">
        <f aca="false">COUNTIFS('Raw Data'!$I$2:$I$121,A11,'Raw Data'!$G$2:$G$121,"Cancelled")</f>
        <v>6</v>
      </c>
      <c r="E11" s="13" t="n">
        <f aca="false">D11/B11</f>
        <v>0.260869565217391</v>
      </c>
      <c r="F11" s="4" t="n">
        <f aca="false">SUMIFS('Raw Data'!$E$2:$E$121,'Raw Data'!$I$2:$I$121,A11,'Raw Data'!$G$2:$G$121,"Completed")</f>
        <v>11910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20"/>
  </cols>
  <sheetData>
    <row r="1" customFormat="false" ht="17.35" hidden="false" customHeight="false" outlineLevel="0" collapsed="false">
      <c r="A1" s="9" t="s">
        <v>190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0" t="s">
        <v>191</v>
      </c>
      <c r="B2" s="10"/>
      <c r="C2" s="10"/>
      <c r="D2" s="10"/>
      <c r="E2" s="10"/>
      <c r="F2" s="10"/>
      <c r="G2" s="10"/>
      <c r="H2" s="10"/>
    </row>
    <row r="4" customFormat="false" ht="23.85" hidden="false" customHeight="false" outlineLevel="0" collapsed="false">
      <c r="A4" s="1" t="s">
        <v>9</v>
      </c>
      <c r="B4" s="1" t="s">
        <v>165</v>
      </c>
      <c r="C4" s="1" t="s">
        <v>16</v>
      </c>
      <c r="D4" s="1" t="s">
        <v>36</v>
      </c>
      <c r="E4" s="1" t="s">
        <v>172</v>
      </c>
      <c r="F4" s="1" t="s">
        <v>182</v>
      </c>
      <c r="G4" s="1" t="s">
        <v>192</v>
      </c>
      <c r="H4" s="1" t="s">
        <v>193</v>
      </c>
    </row>
    <row r="5" customFormat="false" ht="15" hidden="false" customHeight="false" outlineLevel="0" collapsed="false">
      <c r="A5" s="0" t="n">
        <v>31</v>
      </c>
      <c r="B5" s="0" t="n">
        <f aca="false">COUNTIF('Raw Data'!$J$2:$J$121,A5)</f>
        <v>13</v>
      </c>
      <c r="C5" s="0" t="n">
        <f aca="false">COUNTIFS('Raw Data'!$J$2:$J$121,A5,'Raw Data'!$G$2:$G$121,"Completed")</f>
        <v>9</v>
      </c>
      <c r="D5" s="0" t="n">
        <f aca="false">COUNTIFS('Raw Data'!$J$2:$J$121,A5,'Raw Data'!$G$2:$G$121,"Cancelled")</f>
        <v>4</v>
      </c>
      <c r="E5" s="13" t="n">
        <f aca="false">D5/B5</f>
        <v>0.307692307692308</v>
      </c>
      <c r="F5" s="4" t="n">
        <f aca="false">SUMIFS('Raw Data'!$E$2:$E$121,'Raw Data'!$J$2:$J$121,A5,'Raw Data'!$G$2:$G$121,"Completed")</f>
        <v>5342</v>
      </c>
      <c r="G5" s="0" t="str">
        <f aca="false">""</f>
        <v/>
      </c>
      <c r="H5" s="0" t="str">
        <f aca="false">""</f>
        <v/>
      </c>
    </row>
    <row r="6" customFormat="false" ht="15" hidden="false" customHeight="false" outlineLevel="0" collapsed="false">
      <c r="A6" s="0" t="n">
        <v>32</v>
      </c>
      <c r="B6" s="0" t="n">
        <f aca="false">COUNTIF('Raw Data'!$J$2:$J$121,A6)</f>
        <v>28</v>
      </c>
      <c r="C6" s="0" t="n">
        <f aca="false">COUNTIFS('Raw Data'!$J$2:$J$121,A6,'Raw Data'!$G$2:$G$121,"Completed")</f>
        <v>24</v>
      </c>
      <c r="D6" s="0" t="n">
        <f aca="false">COUNTIFS('Raw Data'!$J$2:$J$121,A6,'Raw Data'!$G$2:$G$121,"Cancelled")</f>
        <v>4</v>
      </c>
      <c r="E6" s="13" t="n">
        <f aca="false">D6/B6</f>
        <v>0.142857142857143</v>
      </c>
      <c r="F6" s="4" t="n">
        <f aca="false">SUMIFS('Raw Data'!$E$2:$E$121,'Raw Data'!$J$2:$J$121,A6,'Raw Data'!$G$2:$G$121,"Completed")</f>
        <v>15241</v>
      </c>
      <c r="G6" s="4" t="n">
        <f aca="false">F6-F5</f>
        <v>9899</v>
      </c>
      <c r="H6" s="13" t="n">
        <f aca="false">IF(F5=0,"",(F6-F5)/F5)</f>
        <v>1.85305129165107</v>
      </c>
    </row>
    <row r="7" customFormat="false" ht="15" hidden="false" customHeight="false" outlineLevel="0" collapsed="false">
      <c r="A7" s="0" t="n">
        <v>33</v>
      </c>
      <c r="B7" s="0" t="n">
        <f aca="false">COUNTIF('Raw Data'!$J$2:$J$121,A7)</f>
        <v>18</v>
      </c>
      <c r="C7" s="0" t="n">
        <f aca="false">COUNTIFS('Raw Data'!$J$2:$J$121,A7,'Raw Data'!$G$2:$G$121,"Completed")</f>
        <v>15</v>
      </c>
      <c r="D7" s="0" t="n">
        <f aca="false">COUNTIFS('Raw Data'!$J$2:$J$121,A7,'Raw Data'!$G$2:$G$121,"Cancelled")</f>
        <v>3</v>
      </c>
      <c r="E7" s="13" t="n">
        <f aca="false">D7/B7</f>
        <v>0.166666666666667</v>
      </c>
      <c r="F7" s="4" t="n">
        <f aca="false">SUMIFS('Raw Data'!$E$2:$E$121,'Raw Data'!$J$2:$J$121,A7,'Raw Data'!$G$2:$G$121,"Completed")</f>
        <v>10381</v>
      </c>
      <c r="G7" s="4" t="n">
        <f aca="false">F7-F6</f>
        <v>-4860</v>
      </c>
      <c r="H7" s="13" t="n">
        <f aca="false">IF(F6=0,"",(F7-F6)/F6)</f>
        <v>-0.31887671412637</v>
      </c>
    </row>
    <row r="8" customFormat="false" ht="15" hidden="false" customHeight="false" outlineLevel="0" collapsed="false">
      <c r="A8" s="0" t="n">
        <v>34</v>
      </c>
      <c r="B8" s="0" t="n">
        <f aca="false">COUNTIF('Raw Data'!$J$2:$J$121,A8)</f>
        <v>36</v>
      </c>
      <c r="C8" s="0" t="n">
        <f aca="false">COUNTIFS('Raw Data'!$J$2:$J$121,A8,'Raw Data'!$G$2:$G$121,"Completed")</f>
        <v>30</v>
      </c>
      <c r="D8" s="0" t="n">
        <f aca="false">COUNTIFS('Raw Data'!$J$2:$J$121,A8,'Raw Data'!$G$2:$G$121,"Cancelled")</f>
        <v>6</v>
      </c>
      <c r="E8" s="13" t="n">
        <f aca="false">D8/B8</f>
        <v>0.166666666666667</v>
      </c>
      <c r="F8" s="4" t="n">
        <f aca="false">SUMIFS('Raw Data'!$E$2:$E$121,'Raw Data'!$J$2:$J$121,A8,'Raw Data'!$G$2:$G$121,"Completed")</f>
        <v>21188</v>
      </c>
      <c r="G8" s="4" t="n">
        <f aca="false">F8-F7</f>
        <v>10807</v>
      </c>
      <c r="H8" s="13" t="n">
        <f aca="false">IF(F7=0,"",(F8-F7)/F7)</f>
        <v>1.04103650900684</v>
      </c>
    </row>
    <row r="9" customFormat="false" ht="15" hidden="false" customHeight="false" outlineLevel="0" collapsed="false">
      <c r="A9" s="0" t="n">
        <v>35</v>
      </c>
      <c r="B9" s="0" t="n">
        <f aca="false">COUNTIF('Raw Data'!$J$2:$J$121,A9)</f>
        <v>25</v>
      </c>
      <c r="C9" s="0" t="n">
        <f aca="false">COUNTIFS('Raw Data'!$J$2:$J$121,A9,'Raw Data'!$G$2:$G$121,"Completed")</f>
        <v>18</v>
      </c>
      <c r="D9" s="0" t="n">
        <f aca="false">COUNTIFS('Raw Data'!$J$2:$J$121,A9,'Raw Data'!$G$2:$G$121,"Cancelled")</f>
        <v>7</v>
      </c>
      <c r="E9" s="13" t="n">
        <f aca="false">D9/B9</f>
        <v>0.28</v>
      </c>
      <c r="F9" s="4" t="n">
        <f aca="false">SUMIFS('Raw Data'!$E$2:$E$121,'Raw Data'!$J$2:$J$121,A9,'Raw Data'!$G$2:$G$121,"Completed")</f>
        <v>13275</v>
      </c>
      <c r="G9" s="4" t="n">
        <f aca="false">F9-F8</f>
        <v>-7913</v>
      </c>
      <c r="H9" s="13" t="n">
        <f aca="false">IF(F8=0,"",(F9-F8)/F8)</f>
        <v>-0.373466112894091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9" t="s">
        <v>194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0" t="s">
        <v>195</v>
      </c>
      <c r="B2" s="10"/>
      <c r="C2" s="10"/>
      <c r="D2" s="10"/>
      <c r="E2" s="10"/>
      <c r="F2" s="10"/>
      <c r="G2" s="10"/>
      <c r="H2" s="10"/>
    </row>
    <row r="4" customFormat="false" ht="23.85" hidden="false" customHeight="false" outlineLevel="0" collapsed="false">
      <c r="A4" s="1" t="s">
        <v>2</v>
      </c>
      <c r="B4" s="1" t="s">
        <v>165</v>
      </c>
      <c r="C4" s="1" t="s">
        <v>16</v>
      </c>
      <c r="D4" s="1" t="s">
        <v>36</v>
      </c>
      <c r="E4" s="1" t="s">
        <v>172</v>
      </c>
      <c r="F4" s="1" t="s">
        <v>182</v>
      </c>
      <c r="G4" s="1" t="s">
        <v>196</v>
      </c>
      <c r="H4" s="1" t="s">
        <v>197</v>
      </c>
      <c r="I4" s="1" t="s">
        <v>198</v>
      </c>
    </row>
    <row r="5" customFormat="false" ht="15" hidden="false" customHeight="false" outlineLevel="0" collapsed="false">
      <c r="A5" s="0" t="s">
        <v>26</v>
      </c>
      <c r="B5" s="0" t="n">
        <f aca="false">COUNTIF('Raw Data'!$C$2:$C$121,A5)</f>
        <v>15</v>
      </c>
      <c r="C5" s="0" t="n">
        <f aca="false">COUNTIFS('Raw Data'!$C$2:$C$121,A5,'Raw Data'!$G$2:$G$121,"Completed")</f>
        <v>12</v>
      </c>
      <c r="D5" s="0" t="n">
        <f aca="false">COUNTIFS('Raw Data'!$C$2:$C$121,A5,'Raw Data'!$G$2:$G$121,"Cancelled")</f>
        <v>3</v>
      </c>
      <c r="E5" s="13" t="n">
        <f aca="false">D5/B5</f>
        <v>0.2</v>
      </c>
      <c r="F5" s="4" t="n">
        <f aca="false">SUMIFS('Raw Data'!$E$2:$E$121,'Raw Data'!$C$2:$C$121,A5,'Raw Data'!$G$2:$G$121,"Completed")</f>
        <v>8145</v>
      </c>
      <c r="G5" s="13" t="n">
        <f aca="false">F5/'KPI Summary'!$B$10</f>
        <v>0.124489889495163</v>
      </c>
      <c r="H5" s="3" t="n">
        <f aca="false">RANK(F5,$F$5:$F$12)</f>
        <v>6</v>
      </c>
      <c r="I5" s="15" t="n">
        <f aca="false">IFERROR(F5/C5,0)</f>
        <v>678.75</v>
      </c>
    </row>
    <row r="6" customFormat="false" ht="15" hidden="false" customHeight="false" outlineLevel="0" collapsed="false">
      <c r="A6" s="0" t="s">
        <v>14</v>
      </c>
      <c r="B6" s="0" t="n">
        <f aca="false">COUNTIF('Raw Data'!$C$2:$C$121,A6)</f>
        <v>7</v>
      </c>
      <c r="C6" s="0" t="n">
        <f aca="false">COUNTIFS('Raw Data'!$C$2:$C$121,A6,'Raw Data'!$G$2:$G$121,"Completed")</f>
        <v>6</v>
      </c>
      <c r="D6" s="0" t="n">
        <f aca="false">COUNTIFS('Raw Data'!$C$2:$C$121,A6,'Raw Data'!$G$2:$G$121,"Cancelled")</f>
        <v>1</v>
      </c>
      <c r="E6" s="13" t="n">
        <f aca="false">D6/B6</f>
        <v>0.142857142857143</v>
      </c>
      <c r="F6" s="4" t="n">
        <f aca="false">SUMIFS('Raw Data'!$E$2:$E$121,'Raw Data'!$C$2:$C$121,A6,'Raw Data'!$G$2:$G$121,"Completed")</f>
        <v>3514</v>
      </c>
      <c r="G6" s="13" t="n">
        <f aca="false">F6/'KPI Summary'!$B$10</f>
        <v>0.0537087135280542</v>
      </c>
      <c r="H6" s="3" t="n">
        <f aca="false">RANK(F6,$F$5:$F$12)</f>
        <v>8</v>
      </c>
      <c r="I6" s="15" t="n">
        <f aca="false">IFERROR(F6/C6,0)</f>
        <v>585.666666666667</v>
      </c>
    </row>
    <row r="7" customFormat="false" ht="15" hidden="false" customHeight="false" outlineLevel="0" collapsed="false">
      <c r="A7" s="0" t="s">
        <v>13</v>
      </c>
      <c r="B7" s="0" t="n">
        <f aca="false">COUNTIF('Raw Data'!$C$2:$C$121,A7)</f>
        <v>15</v>
      </c>
      <c r="C7" s="0" t="n">
        <f aca="false">COUNTIFS('Raw Data'!$C$2:$C$121,A7,'Raw Data'!$G$2:$G$121,"Completed")</f>
        <v>14</v>
      </c>
      <c r="D7" s="0" t="n">
        <f aca="false">COUNTIFS('Raw Data'!$C$2:$C$121,A7,'Raw Data'!$G$2:$G$121,"Cancelled")</f>
        <v>1</v>
      </c>
      <c r="E7" s="13" t="n">
        <f aca="false">D7/B7</f>
        <v>0.0666666666666667</v>
      </c>
      <c r="F7" s="4" t="n">
        <f aca="false">SUMIFS('Raw Data'!$E$2:$E$121,'Raw Data'!$C$2:$C$121,A7,'Raw Data'!$G$2:$G$121,"Completed")</f>
        <v>8757</v>
      </c>
      <c r="G7" s="13" t="n">
        <f aca="false">F7/'KPI Summary'!$B$10</f>
        <v>0.133843825943418</v>
      </c>
      <c r="H7" s="3" t="n">
        <f aca="false">RANK(F7,$F$5:$F$12)</f>
        <v>4</v>
      </c>
      <c r="I7" s="15" t="n">
        <f aca="false">IFERROR(F7/C7,0)</f>
        <v>625.5</v>
      </c>
    </row>
    <row r="8" customFormat="false" ht="15" hidden="false" customHeight="false" outlineLevel="0" collapsed="false">
      <c r="A8" s="0" t="s">
        <v>40</v>
      </c>
      <c r="B8" s="0" t="n">
        <f aca="false">COUNTIF('Raw Data'!$C$2:$C$121,A8)</f>
        <v>15</v>
      </c>
      <c r="C8" s="0" t="n">
        <f aca="false">COUNTIFS('Raw Data'!$C$2:$C$121,A8,'Raw Data'!$G$2:$G$121,"Completed")</f>
        <v>12</v>
      </c>
      <c r="D8" s="0" t="n">
        <f aca="false">COUNTIFS('Raw Data'!$C$2:$C$121,A8,'Raw Data'!$G$2:$G$121,"Cancelled")</f>
        <v>3</v>
      </c>
      <c r="E8" s="13" t="n">
        <f aca="false">D8/B8</f>
        <v>0.2</v>
      </c>
      <c r="F8" s="4" t="n">
        <f aca="false">SUMIFS('Raw Data'!$E$2:$E$121,'Raw Data'!$C$2:$C$121,A8,'Raw Data'!$G$2:$G$121,"Completed")</f>
        <v>8466</v>
      </c>
      <c r="G8" s="13" t="n">
        <f aca="false">F8/'KPI Summary'!$B$10</f>
        <v>0.129396120867532</v>
      </c>
      <c r="H8" s="3" t="n">
        <f aca="false">RANK(F8,$F$5:$F$12)</f>
        <v>5</v>
      </c>
      <c r="I8" s="15" t="n">
        <f aca="false">IFERROR(F8/C8,0)</f>
        <v>705.5</v>
      </c>
    </row>
    <row r="9" customFormat="false" ht="15" hidden="false" customHeight="false" outlineLevel="0" collapsed="false">
      <c r="A9" s="0" t="s">
        <v>28</v>
      </c>
      <c r="B9" s="0" t="n">
        <f aca="false">COUNTIF('Raw Data'!$C$2:$C$121,A9)</f>
        <v>21</v>
      </c>
      <c r="C9" s="0" t="n">
        <f aca="false">COUNTIFS('Raw Data'!$C$2:$C$121,A9,'Raw Data'!$G$2:$G$121,"Completed")</f>
        <v>17</v>
      </c>
      <c r="D9" s="0" t="n">
        <f aca="false">COUNTIFS('Raw Data'!$C$2:$C$121,A9,'Raw Data'!$G$2:$G$121,"Cancelled")</f>
        <v>4</v>
      </c>
      <c r="E9" s="13" t="n">
        <f aca="false">D9/B9</f>
        <v>0.19047619047619</v>
      </c>
      <c r="F9" s="4" t="n">
        <f aca="false">SUMIFS('Raw Data'!$E$2:$E$121,'Raw Data'!$C$2:$C$121,A9,'Raw Data'!$G$2:$G$121,"Completed")</f>
        <v>11323</v>
      </c>
      <c r="G9" s="13" t="n">
        <f aca="false">F9/'KPI Summary'!$B$10</f>
        <v>0.173063108502606</v>
      </c>
      <c r="H9" s="3" t="n">
        <f aca="false">RANK(F9,$F$5:$F$12)</f>
        <v>1</v>
      </c>
      <c r="I9" s="15" t="n">
        <f aca="false">IFERROR(F9/C9,0)</f>
        <v>666.058823529412</v>
      </c>
    </row>
    <row r="10" customFormat="false" ht="15" hidden="false" customHeight="false" outlineLevel="0" collapsed="false">
      <c r="A10" s="0" t="s">
        <v>20</v>
      </c>
      <c r="B10" s="0" t="n">
        <f aca="false">COUNTIF('Raw Data'!$C$2:$C$121,A10)</f>
        <v>10</v>
      </c>
      <c r="C10" s="0" t="n">
        <f aca="false">COUNTIFS('Raw Data'!$C$2:$C$121,A10,'Raw Data'!$G$2:$G$121,"Completed")</f>
        <v>7</v>
      </c>
      <c r="D10" s="0" t="n">
        <f aca="false">COUNTIFS('Raw Data'!$C$2:$C$121,A10,'Raw Data'!$G$2:$G$121,"Cancelled")</f>
        <v>3</v>
      </c>
      <c r="E10" s="13" t="n">
        <f aca="false">D10/B10</f>
        <v>0.3</v>
      </c>
      <c r="F10" s="4" t="n">
        <f aca="false">SUMIFS('Raw Data'!$E$2:$E$121,'Raw Data'!$C$2:$C$121,A10,'Raw Data'!$G$2:$G$121,"Completed")</f>
        <v>5281</v>
      </c>
      <c r="G10" s="13" t="n">
        <f aca="false">F10/'KPI Summary'!$B$10</f>
        <v>0.080715912390909</v>
      </c>
      <c r="H10" s="3" t="n">
        <f aca="false">RANK(F10,$F$5:$F$12)</f>
        <v>7</v>
      </c>
      <c r="I10" s="15" t="n">
        <f aca="false">IFERROR(F10/C10,0)</f>
        <v>754.428571428571</v>
      </c>
    </row>
    <row r="11" customFormat="false" ht="15" hidden="false" customHeight="false" outlineLevel="0" collapsed="false">
      <c r="A11" s="0" t="s">
        <v>23</v>
      </c>
      <c r="B11" s="0" t="n">
        <f aca="false">COUNTIF('Raw Data'!$C$2:$C$121,A11)</f>
        <v>19</v>
      </c>
      <c r="C11" s="0" t="n">
        <f aca="false">COUNTIFS('Raw Data'!$C$2:$C$121,A11,'Raw Data'!$G$2:$G$121,"Completed")</f>
        <v>14</v>
      </c>
      <c r="D11" s="0" t="n">
        <f aca="false">COUNTIFS('Raw Data'!$C$2:$C$121,A11,'Raw Data'!$G$2:$G$121,"Cancelled")</f>
        <v>5</v>
      </c>
      <c r="E11" s="13" t="n">
        <f aca="false">D11/B11</f>
        <v>0.263157894736842</v>
      </c>
      <c r="F11" s="4" t="n">
        <f aca="false">SUMIFS('Raw Data'!$E$2:$E$121,'Raw Data'!$C$2:$C$121,A11,'Raw Data'!$G$2:$G$121,"Completed")</f>
        <v>10139</v>
      </c>
      <c r="G11" s="13" t="n">
        <f aca="false">F11/'KPI Summary'!$B$10</f>
        <v>0.154966604001406</v>
      </c>
      <c r="H11" s="3" t="n">
        <f aca="false">RANK(F11,$F$5:$F$12)</f>
        <v>2</v>
      </c>
      <c r="I11" s="15" t="n">
        <f aca="false">IFERROR(F11/C11,0)</f>
        <v>724.214285714286</v>
      </c>
    </row>
    <row r="12" customFormat="false" ht="15" hidden="false" customHeight="false" outlineLevel="0" collapsed="false">
      <c r="A12" s="0" t="s">
        <v>44</v>
      </c>
      <c r="B12" s="0" t="n">
        <f aca="false">COUNTIF('Raw Data'!$C$2:$C$121,A12)</f>
        <v>18</v>
      </c>
      <c r="C12" s="0" t="n">
        <f aca="false">COUNTIFS('Raw Data'!$C$2:$C$121,A12,'Raw Data'!$G$2:$G$121,"Completed")</f>
        <v>14</v>
      </c>
      <c r="D12" s="0" t="n">
        <f aca="false">COUNTIFS('Raw Data'!$C$2:$C$121,A12,'Raw Data'!$G$2:$G$121,"Cancelled")</f>
        <v>4</v>
      </c>
      <c r="E12" s="13" t="n">
        <f aca="false">D12/B12</f>
        <v>0.222222222222222</v>
      </c>
      <c r="F12" s="4" t="n">
        <f aca="false">SUMIFS('Raw Data'!$E$2:$E$121,'Raw Data'!$C$2:$C$121,A12,'Raw Data'!$G$2:$G$121,"Completed")</f>
        <v>9802</v>
      </c>
      <c r="G12" s="13" t="n">
        <f aca="false">F12/'KPI Summary'!$B$10</f>
        <v>0.149815825270913</v>
      </c>
      <c r="H12" s="3" t="n">
        <f aca="false">RANK(F12,$F$5:$F$12)</f>
        <v>3</v>
      </c>
      <c r="I12" s="15" t="n">
        <f aca="false">IFERROR(F12/C12,0)</f>
        <v>700.142857142857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9" t="s">
        <v>199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A2" s="10" t="s">
        <v>200</v>
      </c>
      <c r="B2" s="10"/>
      <c r="C2" s="10"/>
      <c r="D2" s="10"/>
      <c r="E2" s="10"/>
      <c r="F2" s="10"/>
      <c r="G2" s="10"/>
    </row>
    <row r="4" customFormat="false" ht="15" hidden="false" customHeight="false" outlineLevel="0" collapsed="false">
      <c r="A4" s="1" t="s">
        <v>10</v>
      </c>
      <c r="B4" s="1" t="s">
        <v>165</v>
      </c>
      <c r="C4" s="1" t="s">
        <v>16</v>
      </c>
      <c r="D4" s="1" t="s">
        <v>36</v>
      </c>
      <c r="E4" s="1" t="s">
        <v>172</v>
      </c>
      <c r="F4" s="1" t="s">
        <v>182</v>
      </c>
      <c r="G4" s="1" t="s">
        <v>198</v>
      </c>
    </row>
    <row r="5" customFormat="false" ht="15" hidden="false" customHeight="false" outlineLevel="0" collapsed="false">
      <c r="A5" s="0" t="s">
        <v>201</v>
      </c>
      <c r="B5" s="0" t="n">
        <f aca="false">COUNTIF('Raw Data'!$K$2:$K$121,A5)</f>
        <v>3</v>
      </c>
      <c r="C5" s="0" t="n">
        <f aca="false">COUNTIFS('Raw Data'!$K$2:$K$121,A5,'Raw Data'!$G$2:$G$121,"Completed")</f>
        <v>2</v>
      </c>
      <c r="D5" s="0" t="n">
        <f aca="false">COUNTIFS('Raw Data'!$K$2:$K$121,A5,'Raw Data'!$G$2:$G$121,"Cancelled")</f>
        <v>1</v>
      </c>
      <c r="E5" s="13" t="n">
        <f aca="false">D5/B5</f>
        <v>0.333333333333333</v>
      </c>
      <c r="F5" s="4" t="n">
        <f aca="false">SUMIFS('Raw Data'!$E$2:$E$121,'Raw Data'!$K$2:$K$121,A5,'Raw Data'!$G$2:$G$121,"Completed")</f>
        <v>2128</v>
      </c>
      <c r="G5" s="15" t="n">
        <f aca="false">IFERROR(F5/C5,0)</f>
        <v>1064</v>
      </c>
    </row>
    <row r="6" customFormat="false" ht="15" hidden="false" customHeight="false" outlineLevel="0" collapsed="false">
      <c r="A6" s="0" t="s">
        <v>202</v>
      </c>
      <c r="B6" s="0" t="n">
        <f aca="false">COUNTIF('Raw Data'!$K$2:$K$121,A6)</f>
        <v>4</v>
      </c>
      <c r="C6" s="0" t="n">
        <f aca="false">COUNTIFS('Raw Data'!$K$2:$K$121,A6,'Raw Data'!$G$2:$G$121,"Completed")</f>
        <v>3</v>
      </c>
      <c r="D6" s="0" t="n">
        <f aca="false">COUNTIFS('Raw Data'!$K$2:$K$121,A6,'Raw Data'!$G$2:$G$121,"Cancelled")</f>
        <v>1</v>
      </c>
      <c r="E6" s="13" t="n">
        <f aca="false">D6/B6</f>
        <v>0.25</v>
      </c>
      <c r="F6" s="4" t="n">
        <f aca="false">SUMIFS('Raw Data'!$E$2:$E$121,'Raw Data'!$K$2:$K$121,A6,'Raw Data'!$G$2:$G$121,"Completed")</f>
        <v>1641</v>
      </c>
      <c r="G6" s="15" t="n">
        <f aca="false">IFERROR(F6/C6,0)</f>
        <v>547</v>
      </c>
    </row>
    <row r="7" customFormat="false" ht="15" hidden="false" customHeight="false" outlineLevel="0" collapsed="false">
      <c r="A7" s="0" t="s">
        <v>203</v>
      </c>
      <c r="B7" s="0" t="n">
        <f aca="false">COUNTIF('Raw Data'!$K$2:$K$121,A7)</f>
        <v>4</v>
      </c>
      <c r="C7" s="0" t="n">
        <f aca="false">COUNTIFS('Raw Data'!$K$2:$K$121,A7,'Raw Data'!$G$2:$G$121,"Completed")</f>
        <v>4</v>
      </c>
      <c r="D7" s="0" t="n">
        <f aca="false">COUNTIFS('Raw Data'!$K$2:$K$121,A7,'Raw Data'!$G$2:$G$121,"Cancelled")</f>
        <v>0</v>
      </c>
      <c r="E7" s="13" t="n">
        <f aca="false">D7/B7</f>
        <v>0</v>
      </c>
      <c r="F7" s="4" t="n">
        <f aca="false">SUMIFS('Raw Data'!$E$2:$E$121,'Raw Data'!$K$2:$K$121,A7,'Raw Data'!$G$2:$G$121,"Completed")</f>
        <v>2595</v>
      </c>
      <c r="G7" s="15" t="n">
        <f aca="false">IFERROR(F7/C7,0)</f>
        <v>648.75</v>
      </c>
    </row>
    <row r="8" customFormat="false" ht="15" hidden="false" customHeight="false" outlineLevel="0" collapsed="false">
      <c r="A8" s="0" t="s">
        <v>204</v>
      </c>
      <c r="B8" s="0" t="n">
        <f aca="false">COUNTIF('Raw Data'!$K$2:$K$121,A8)</f>
        <v>3</v>
      </c>
      <c r="C8" s="0" t="n">
        <f aca="false">COUNTIFS('Raw Data'!$K$2:$K$121,A8,'Raw Data'!$G$2:$G$121,"Completed")</f>
        <v>3</v>
      </c>
      <c r="D8" s="0" t="n">
        <f aca="false">COUNTIFS('Raw Data'!$K$2:$K$121,A8,'Raw Data'!$G$2:$G$121,"Cancelled")</f>
        <v>0</v>
      </c>
      <c r="E8" s="13" t="n">
        <f aca="false">D8/B8</f>
        <v>0</v>
      </c>
      <c r="F8" s="4" t="n">
        <f aca="false">SUMIFS('Raw Data'!$E$2:$E$121,'Raw Data'!$K$2:$K$121,A8,'Raw Data'!$G$2:$G$121,"Completed")</f>
        <v>2079</v>
      </c>
      <c r="G8" s="15" t="n">
        <f aca="false">IFERROR(F8/C8,0)</f>
        <v>693</v>
      </c>
    </row>
    <row r="9" customFormat="false" ht="15" hidden="false" customHeight="false" outlineLevel="0" collapsed="false">
      <c r="A9" s="0" t="s">
        <v>205</v>
      </c>
      <c r="B9" s="0" t="n">
        <f aca="false">COUNTIF('Raw Data'!$K$2:$K$121,A9)</f>
        <v>3</v>
      </c>
      <c r="C9" s="0" t="n">
        <f aca="false">COUNTIFS('Raw Data'!$K$2:$K$121,A9,'Raw Data'!$G$2:$G$121,"Completed")</f>
        <v>2</v>
      </c>
      <c r="D9" s="0" t="n">
        <f aca="false">COUNTIFS('Raw Data'!$K$2:$K$121,A9,'Raw Data'!$G$2:$G$121,"Cancelled")</f>
        <v>1</v>
      </c>
      <c r="E9" s="13" t="n">
        <f aca="false">D9/B9</f>
        <v>0.333333333333333</v>
      </c>
      <c r="F9" s="4" t="n">
        <f aca="false">SUMIFS('Raw Data'!$E$2:$E$121,'Raw Data'!$K$2:$K$121,A9,'Raw Data'!$G$2:$G$121,"Completed")</f>
        <v>1994</v>
      </c>
      <c r="G9" s="15" t="n">
        <f aca="false">IFERROR(F9/C9,0)</f>
        <v>997</v>
      </c>
    </row>
    <row r="10" customFormat="false" ht="15" hidden="false" customHeight="false" outlineLevel="0" collapsed="false">
      <c r="A10" s="0" t="s">
        <v>206</v>
      </c>
      <c r="B10" s="0" t="n">
        <f aca="false">COUNTIF('Raw Data'!$K$2:$K$121,A10)</f>
        <v>3</v>
      </c>
      <c r="C10" s="0" t="n">
        <f aca="false">COUNTIFS('Raw Data'!$K$2:$K$121,A10,'Raw Data'!$G$2:$G$121,"Completed")</f>
        <v>3</v>
      </c>
      <c r="D10" s="0" t="n">
        <f aca="false">COUNTIFS('Raw Data'!$K$2:$K$121,A10,'Raw Data'!$G$2:$G$121,"Cancelled")</f>
        <v>0</v>
      </c>
      <c r="E10" s="13" t="n">
        <f aca="false">D10/B10</f>
        <v>0</v>
      </c>
      <c r="F10" s="4" t="n">
        <f aca="false">SUMIFS('Raw Data'!$E$2:$E$121,'Raw Data'!$K$2:$K$121,A10,'Raw Data'!$G$2:$G$121,"Completed")</f>
        <v>829</v>
      </c>
      <c r="G10" s="15" t="n">
        <f aca="false">IFERROR(F10/C10,0)</f>
        <v>276.333333333333</v>
      </c>
    </row>
    <row r="11" customFormat="false" ht="15" hidden="false" customHeight="false" outlineLevel="0" collapsed="false">
      <c r="A11" s="0" t="s">
        <v>207</v>
      </c>
      <c r="B11" s="0" t="n">
        <f aca="false">COUNTIF('Raw Data'!$K$2:$K$121,A11)</f>
        <v>5</v>
      </c>
      <c r="C11" s="0" t="n">
        <f aca="false">COUNTIFS('Raw Data'!$K$2:$K$121,A11,'Raw Data'!$G$2:$G$121,"Completed")</f>
        <v>4</v>
      </c>
      <c r="D11" s="0" t="n">
        <f aca="false">COUNTIFS('Raw Data'!$K$2:$K$121,A11,'Raw Data'!$G$2:$G$121,"Cancelled")</f>
        <v>1</v>
      </c>
      <c r="E11" s="13" t="n">
        <f aca="false">D11/B11</f>
        <v>0.2</v>
      </c>
      <c r="F11" s="4" t="n">
        <f aca="false">SUMIFS('Raw Data'!$E$2:$E$121,'Raw Data'!$K$2:$K$121,A11,'Raw Data'!$G$2:$G$121,"Completed")</f>
        <v>3393</v>
      </c>
      <c r="G11" s="15" t="n">
        <f aca="false">IFERROR(F11/C11,0)</f>
        <v>848.25</v>
      </c>
    </row>
    <row r="12" customFormat="false" ht="15" hidden="false" customHeight="false" outlineLevel="0" collapsed="false">
      <c r="A12" s="0" t="s">
        <v>208</v>
      </c>
      <c r="B12" s="0" t="n">
        <f aca="false">COUNTIF('Raw Data'!$K$2:$K$121,A12)</f>
        <v>3</v>
      </c>
      <c r="C12" s="0" t="n">
        <f aca="false">COUNTIFS('Raw Data'!$K$2:$K$121,A12,'Raw Data'!$G$2:$G$121,"Completed")</f>
        <v>3</v>
      </c>
      <c r="D12" s="0" t="n">
        <f aca="false">COUNTIFS('Raw Data'!$K$2:$K$121,A12,'Raw Data'!$G$2:$G$121,"Cancelled")</f>
        <v>0</v>
      </c>
      <c r="E12" s="13" t="n">
        <f aca="false">D12/B12</f>
        <v>0</v>
      </c>
      <c r="F12" s="4" t="n">
        <f aca="false">SUMIFS('Raw Data'!$E$2:$E$121,'Raw Data'!$K$2:$K$121,A12,'Raw Data'!$G$2:$G$121,"Completed")</f>
        <v>1935</v>
      </c>
      <c r="G12" s="15" t="n">
        <f aca="false">IFERROR(F12/C12,0)</f>
        <v>645</v>
      </c>
    </row>
    <row r="13" customFormat="false" ht="15" hidden="false" customHeight="false" outlineLevel="0" collapsed="false">
      <c r="A13" s="0" t="s">
        <v>209</v>
      </c>
      <c r="B13" s="0" t="n">
        <f aca="false">COUNTIF('Raw Data'!$K$2:$K$121,A13)</f>
        <v>3</v>
      </c>
      <c r="C13" s="0" t="n">
        <f aca="false">COUNTIFS('Raw Data'!$K$2:$K$121,A13,'Raw Data'!$G$2:$G$121,"Completed")</f>
        <v>2</v>
      </c>
      <c r="D13" s="0" t="n">
        <f aca="false">COUNTIFS('Raw Data'!$K$2:$K$121,A13,'Raw Data'!$G$2:$G$121,"Cancelled")</f>
        <v>1</v>
      </c>
      <c r="E13" s="13" t="n">
        <f aca="false">D13/B13</f>
        <v>0.333333333333333</v>
      </c>
      <c r="F13" s="4" t="n">
        <f aca="false">SUMIFS('Raw Data'!$E$2:$E$121,'Raw Data'!$K$2:$K$121,A13,'Raw Data'!$G$2:$G$121,"Completed")</f>
        <v>1003</v>
      </c>
      <c r="G13" s="15" t="n">
        <f aca="false">IFERROR(F13/C13,0)</f>
        <v>501.5</v>
      </c>
    </row>
    <row r="14" customFormat="false" ht="15" hidden="false" customHeight="false" outlineLevel="0" collapsed="false">
      <c r="A14" s="0" t="s">
        <v>210</v>
      </c>
      <c r="B14" s="0" t="n">
        <f aca="false">COUNTIF('Raw Data'!$K$2:$K$121,A14)</f>
        <v>5</v>
      </c>
      <c r="C14" s="0" t="n">
        <f aca="false">COUNTIFS('Raw Data'!$K$2:$K$121,A14,'Raw Data'!$G$2:$G$121,"Completed")</f>
        <v>4</v>
      </c>
      <c r="D14" s="0" t="n">
        <f aca="false">COUNTIFS('Raw Data'!$K$2:$K$121,A14,'Raw Data'!$G$2:$G$121,"Cancelled")</f>
        <v>1</v>
      </c>
      <c r="E14" s="13" t="n">
        <f aca="false">D14/B14</f>
        <v>0.2</v>
      </c>
      <c r="F14" s="4" t="n">
        <f aca="false">SUMIFS('Raw Data'!$E$2:$E$121,'Raw Data'!$K$2:$K$121,A14,'Raw Data'!$G$2:$G$121,"Completed")</f>
        <v>2747</v>
      </c>
      <c r="G14" s="15" t="n">
        <f aca="false">IFERROR(F14/C14,0)</f>
        <v>686.75</v>
      </c>
    </row>
    <row r="15" customFormat="false" ht="15" hidden="false" customHeight="false" outlineLevel="0" collapsed="false">
      <c r="A15" s="0" t="s">
        <v>211</v>
      </c>
      <c r="B15" s="0" t="n">
        <f aca="false">COUNTIF('Raw Data'!$K$2:$K$121,A15)</f>
        <v>3</v>
      </c>
      <c r="C15" s="0" t="n">
        <f aca="false">COUNTIFS('Raw Data'!$K$2:$K$121,A15,'Raw Data'!$G$2:$G$121,"Completed")</f>
        <v>3</v>
      </c>
      <c r="D15" s="0" t="n">
        <f aca="false">COUNTIFS('Raw Data'!$K$2:$K$121,A15,'Raw Data'!$G$2:$G$121,"Cancelled")</f>
        <v>0</v>
      </c>
      <c r="E15" s="13" t="n">
        <f aca="false">D15/B15</f>
        <v>0</v>
      </c>
      <c r="F15" s="4" t="n">
        <f aca="false">SUMIFS('Raw Data'!$E$2:$E$121,'Raw Data'!$K$2:$K$121,A15,'Raw Data'!$G$2:$G$121,"Completed")</f>
        <v>1894</v>
      </c>
      <c r="G15" s="15" t="n">
        <f aca="false">IFERROR(F15/C15,0)</f>
        <v>631.333333333333</v>
      </c>
    </row>
    <row r="16" customFormat="false" ht="15" hidden="false" customHeight="false" outlineLevel="0" collapsed="false">
      <c r="A16" s="0" t="s">
        <v>212</v>
      </c>
      <c r="B16" s="0" t="n">
        <f aca="false">COUNTIF('Raw Data'!$K$2:$K$121,A16)</f>
        <v>3</v>
      </c>
      <c r="C16" s="0" t="n">
        <f aca="false">COUNTIFS('Raw Data'!$K$2:$K$121,A16,'Raw Data'!$G$2:$G$121,"Completed")</f>
        <v>1</v>
      </c>
      <c r="D16" s="0" t="n">
        <f aca="false">COUNTIFS('Raw Data'!$K$2:$K$121,A16,'Raw Data'!$G$2:$G$121,"Cancelled")</f>
        <v>2</v>
      </c>
      <c r="E16" s="13" t="n">
        <f aca="false">D16/B16</f>
        <v>0.666666666666667</v>
      </c>
      <c r="F16" s="4" t="n">
        <f aca="false">SUMIFS('Raw Data'!$E$2:$E$121,'Raw Data'!$K$2:$K$121,A16,'Raw Data'!$G$2:$G$121,"Completed")</f>
        <v>1054</v>
      </c>
      <c r="G16" s="15" t="n">
        <f aca="false">IFERROR(F16/C16,0)</f>
        <v>1054</v>
      </c>
    </row>
    <row r="17" customFormat="false" ht="15" hidden="false" customHeight="false" outlineLevel="0" collapsed="false">
      <c r="A17" s="0" t="s">
        <v>213</v>
      </c>
      <c r="B17" s="0" t="n">
        <f aca="false">COUNTIF('Raw Data'!$K$2:$K$121,A17)</f>
        <v>3</v>
      </c>
      <c r="C17" s="0" t="n">
        <f aca="false">COUNTIFS('Raw Data'!$K$2:$K$121,A17,'Raw Data'!$G$2:$G$121,"Completed")</f>
        <v>2</v>
      </c>
      <c r="D17" s="0" t="n">
        <f aca="false">COUNTIFS('Raw Data'!$K$2:$K$121,A17,'Raw Data'!$G$2:$G$121,"Cancelled")</f>
        <v>1</v>
      </c>
      <c r="E17" s="13" t="n">
        <f aca="false">D17/B17</f>
        <v>0.333333333333333</v>
      </c>
      <c r="F17" s="4" t="n">
        <f aca="false">SUMIFS('Raw Data'!$E$2:$E$121,'Raw Data'!$K$2:$K$121,A17,'Raw Data'!$G$2:$G$121,"Completed")</f>
        <v>1610</v>
      </c>
      <c r="G17" s="15" t="n">
        <f aca="false">IFERROR(F17/C17,0)</f>
        <v>805</v>
      </c>
    </row>
    <row r="18" customFormat="false" ht="15" hidden="false" customHeight="false" outlineLevel="0" collapsed="false">
      <c r="A18" s="0" t="s">
        <v>214</v>
      </c>
      <c r="B18" s="0" t="n">
        <f aca="false">COUNTIF('Raw Data'!$K$2:$K$121,A18)</f>
        <v>3</v>
      </c>
      <c r="C18" s="0" t="n">
        <f aca="false">COUNTIFS('Raw Data'!$K$2:$K$121,A18,'Raw Data'!$G$2:$G$121,"Completed")</f>
        <v>1</v>
      </c>
      <c r="D18" s="0" t="n">
        <f aca="false">COUNTIFS('Raw Data'!$K$2:$K$121,A18,'Raw Data'!$G$2:$G$121,"Cancelled")</f>
        <v>2</v>
      </c>
      <c r="E18" s="13" t="n">
        <f aca="false">D18/B18</f>
        <v>0.666666666666667</v>
      </c>
      <c r="F18" s="4" t="n">
        <f aca="false">SUMIFS('Raw Data'!$E$2:$E$121,'Raw Data'!$K$2:$K$121,A18,'Raw Data'!$G$2:$G$121,"Completed")</f>
        <v>1015</v>
      </c>
      <c r="G18" s="15" t="n">
        <f aca="false">IFERROR(F18/C18,0)</f>
        <v>1015</v>
      </c>
    </row>
    <row r="19" customFormat="false" ht="15" hidden="false" customHeight="false" outlineLevel="0" collapsed="false">
      <c r="A19" s="0" t="s">
        <v>215</v>
      </c>
      <c r="B19" s="0" t="n">
        <f aca="false">COUNTIF('Raw Data'!$K$2:$K$121,A19)</f>
        <v>3</v>
      </c>
      <c r="C19" s="0" t="n">
        <f aca="false">COUNTIFS('Raw Data'!$K$2:$K$121,A19,'Raw Data'!$G$2:$G$121,"Completed")</f>
        <v>3</v>
      </c>
      <c r="D19" s="0" t="n">
        <f aca="false">COUNTIFS('Raw Data'!$K$2:$K$121,A19,'Raw Data'!$G$2:$G$121,"Cancelled")</f>
        <v>0</v>
      </c>
      <c r="E19" s="13" t="n">
        <f aca="false">D19/B19</f>
        <v>0</v>
      </c>
      <c r="F19" s="4" t="n">
        <f aca="false">SUMIFS('Raw Data'!$E$2:$E$121,'Raw Data'!$K$2:$K$121,A19,'Raw Data'!$G$2:$G$121,"Completed")</f>
        <v>2648</v>
      </c>
      <c r="G19" s="15" t="n">
        <f aca="false">IFERROR(F19/C19,0)</f>
        <v>882.666666666667</v>
      </c>
    </row>
    <row r="20" customFormat="false" ht="15" hidden="false" customHeight="false" outlineLevel="0" collapsed="false">
      <c r="A20" s="0" t="s">
        <v>216</v>
      </c>
      <c r="B20" s="0" t="n">
        <f aca="false">COUNTIF('Raw Data'!$K$2:$K$121,A20)</f>
        <v>3</v>
      </c>
      <c r="C20" s="0" t="n">
        <f aca="false">COUNTIFS('Raw Data'!$K$2:$K$121,A20,'Raw Data'!$G$2:$G$121,"Completed")</f>
        <v>2</v>
      </c>
      <c r="D20" s="0" t="n">
        <f aca="false">COUNTIFS('Raw Data'!$K$2:$K$121,A20,'Raw Data'!$G$2:$G$121,"Cancelled")</f>
        <v>1</v>
      </c>
      <c r="E20" s="13" t="n">
        <f aca="false">D20/B20</f>
        <v>0.333333333333333</v>
      </c>
      <c r="F20" s="4" t="n">
        <f aca="false">SUMIFS('Raw Data'!$E$2:$E$121,'Raw Data'!$K$2:$K$121,A20,'Raw Data'!$G$2:$G$121,"Completed")</f>
        <v>1574</v>
      </c>
      <c r="G20" s="15" t="n">
        <f aca="false">IFERROR(F20/C20,0)</f>
        <v>787</v>
      </c>
    </row>
    <row r="21" customFormat="false" ht="15" hidden="false" customHeight="false" outlineLevel="0" collapsed="false">
      <c r="A21" s="0" t="s">
        <v>217</v>
      </c>
      <c r="B21" s="0" t="n">
        <f aca="false">COUNTIF('Raw Data'!$K$2:$K$121,A21)</f>
        <v>4</v>
      </c>
      <c r="C21" s="0" t="n">
        <f aca="false">COUNTIFS('Raw Data'!$K$2:$K$121,A21,'Raw Data'!$G$2:$G$121,"Completed")</f>
        <v>4</v>
      </c>
      <c r="D21" s="0" t="n">
        <f aca="false">COUNTIFS('Raw Data'!$K$2:$K$121,A21,'Raw Data'!$G$2:$G$121,"Cancelled")</f>
        <v>0</v>
      </c>
      <c r="E21" s="13" t="n">
        <f aca="false">D21/B21</f>
        <v>0</v>
      </c>
      <c r="F21" s="4" t="n">
        <f aca="false">SUMIFS('Raw Data'!$E$2:$E$121,'Raw Data'!$K$2:$K$121,A21,'Raw Data'!$G$2:$G$121,"Completed")</f>
        <v>2994</v>
      </c>
      <c r="G21" s="15" t="n">
        <f aca="false">IFERROR(F21/C21,0)</f>
        <v>748.5</v>
      </c>
    </row>
    <row r="22" customFormat="false" ht="15" hidden="false" customHeight="false" outlineLevel="0" collapsed="false">
      <c r="A22" s="0" t="s">
        <v>218</v>
      </c>
      <c r="B22" s="0" t="n">
        <f aca="false">COUNTIF('Raw Data'!$K$2:$K$121,A22)</f>
        <v>4</v>
      </c>
      <c r="C22" s="0" t="n">
        <f aca="false">COUNTIFS('Raw Data'!$K$2:$K$121,A22,'Raw Data'!$G$2:$G$121,"Completed")</f>
        <v>2</v>
      </c>
      <c r="D22" s="0" t="n">
        <f aca="false">COUNTIFS('Raw Data'!$K$2:$K$121,A22,'Raw Data'!$G$2:$G$121,"Cancelled")</f>
        <v>2</v>
      </c>
      <c r="E22" s="13" t="n">
        <f aca="false">D22/B22</f>
        <v>0.5</v>
      </c>
      <c r="F22" s="4" t="n">
        <f aca="false">SUMIFS('Raw Data'!$E$2:$E$121,'Raw Data'!$K$2:$K$121,A22,'Raw Data'!$G$2:$G$121,"Completed")</f>
        <v>1274</v>
      </c>
      <c r="G22" s="15" t="n">
        <f aca="false">IFERROR(F22/C22,0)</f>
        <v>637</v>
      </c>
    </row>
    <row r="23" customFormat="false" ht="15" hidden="false" customHeight="false" outlineLevel="0" collapsed="false">
      <c r="A23" s="0" t="s">
        <v>219</v>
      </c>
      <c r="B23" s="0" t="n">
        <f aca="false">COUNTIF('Raw Data'!$K$2:$K$121,A23)</f>
        <v>4</v>
      </c>
      <c r="C23" s="0" t="n">
        <f aca="false">COUNTIFS('Raw Data'!$K$2:$K$121,A23,'Raw Data'!$G$2:$G$121,"Completed")</f>
        <v>3</v>
      </c>
      <c r="D23" s="0" t="n">
        <f aca="false">COUNTIFS('Raw Data'!$K$2:$K$121,A23,'Raw Data'!$G$2:$G$121,"Cancelled")</f>
        <v>1</v>
      </c>
      <c r="E23" s="13" t="n">
        <f aca="false">D23/B23</f>
        <v>0.25</v>
      </c>
      <c r="F23" s="4" t="n">
        <f aca="false">SUMIFS('Raw Data'!$E$2:$E$121,'Raw Data'!$K$2:$K$121,A23,'Raw Data'!$G$2:$G$121,"Completed")</f>
        <v>2286</v>
      </c>
      <c r="G23" s="15" t="n">
        <f aca="false">IFERROR(F23/C23,0)</f>
        <v>762</v>
      </c>
    </row>
    <row r="24" customFormat="false" ht="15" hidden="false" customHeight="false" outlineLevel="0" collapsed="false">
      <c r="A24" s="0" t="s">
        <v>220</v>
      </c>
      <c r="B24" s="0" t="n">
        <f aca="false">COUNTIF('Raw Data'!$K$2:$K$121,A24)</f>
        <v>3</v>
      </c>
      <c r="C24" s="0" t="n">
        <f aca="false">COUNTIFS('Raw Data'!$K$2:$K$121,A24,'Raw Data'!$G$2:$G$121,"Completed")</f>
        <v>2</v>
      </c>
      <c r="D24" s="0" t="n">
        <f aca="false">COUNTIFS('Raw Data'!$K$2:$K$121,A24,'Raw Data'!$G$2:$G$121,"Cancelled")</f>
        <v>1</v>
      </c>
      <c r="E24" s="13" t="n">
        <f aca="false">D24/B24</f>
        <v>0.333333333333333</v>
      </c>
      <c r="F24" s="4" t="n">
        <f aca="false">SUMIFS('Raw Data'!$E$2:$E$121,'Raw Data'!$K$2:$K$121,A24,'Raw Data'!$G$2:$G$121,"Completed")</f>
        <v>1859</v>
      </c>
      <c r="G24" s="15" t="n">
        <f aca="false">IFERROR(F24/C24,0)</f>
        <v>929.5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9" t="s">
        <v>221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</row>
    <row r="3" customFormat="false" ht="23.85" hidden="false" customHeight="false" outlineLevel="0" collapsed="false">
      <c r="A3" s="1" t="s">
        <v>5</v>
      </c>
      <c r="B3" s="1" t="s">
        <v>165</v>
      </c>
      <c r="C3" s="1" t="s">
        <v>16</v>
      </c>
      <c r="D3" s="1" t="s">
        <v>36</v>
      </c>
      <c r="E3" s="1" t="s">
        <v>172</v>
      </c>
      <c r="F3" s="1" t="s">
        <v>182</v>
      </c>
      <c r="G3" s="1" t="s">
        <v>196</v>
      </c>
      <c r="H3" s="1" t="s">
        <v>198</v>
      </c>
    </row>
    <row r="4" customFormat="false" ht="15" hidden="false" customHeight="false" outlineLevel="0" collapsed="false">
      <c r="A4" s="0" t="s">
        <v>24</v>
      </c>
      <c r="B4" s="0" t="n">
        <f aca="false">COUNTIF('Raw Data'!$F$2:$F$121,A4)</f>
        <v>45</v>
      </c>
      <c r="C4" s="0" t="n">
        <f aca="false">COUNTIFS('Raw Data'!$F$2:$F$121,A4,'Raw Data'!$G$2:$G$121,"Completed")</f>
        <v>38</v>
      </c>
      <c r="D4" s="0" t="n">
        <f aca="false">COUNTIFS('Raw Data'!$F$2:$F$121,A4,'Raw Data'!$G$2:$G$121,"Cancelled")</f>
        <v>7</v>
      </c>
      <c r="E4" s="13" t="n">
        <f aca="false">D4/B4</f>
        <v>0.155555555555556</v>
      </c>
      <c r="F4" s="4" t="n">
        <f aca="false">SUMIFS('Raw Data'!$E$2:$E$121,'Raw Data'!$F$2:$F$121,A4,'Raw Data'!$G$2:$G$121,"Completed")</f>
        <v>26425</v>
      </c>
      <c r="G4" s="13" t="n">
        <f aca="false">F4/'KPI Summary'!$B$10</f>
        <v>0.4038852461522</v>
      </c>
      <c r="H4" s="15" t="n">
        <f aca="false">IFERROR(F4/C4,0)</f>
        <v>695.394736842105</v>
      </c>
    </row>
    <row r="5" customFormat="false" ht="15" hidden="false" customHeight="false" outlineLevel="0" collapsed="false">
      <c r="A5" s="0" t="s">
        <v>15</v>
      </c>
      <c r="B5" s="0" t="n">
        <f aca="false">COUNTIF('Raw Data'!$F$2:$F$121,A5)</f>
        <v>42</v>
      </c>
      <c r="C5" s="0" t="n">
        <f aca="false">COUNTIFS('Raw Data'!$F$2:$F$121,A5,'Raw Data'!$G$2:$G$121,"Completed")</f>
        <v>33</v>
      </c>
      <c r="D5" s="0" t="n">
        <f aca="false">COUNTIFS('Raw Data'!$F$2:$F$121,A5,'Raw Data'!$G$2:$G$121,"Cancelled")</f>
        <v>9</v>
      </c>
      <c r="E5" s="13" t="n">
        <f aca="false">D5/B5</f>
        <v>0.214285714285714</v>
      </c>
      <c r="F5" s="4" t="n">
        <f aca="false">SUMIFS('Raw Data'!$E$2:$E$121,'Raw Data'!$F$2:$F$121,A5,'Raw Data'!$G$2:$G$121,"Completed")</f>
        <v>21548</v>
      </c>
      <c r="G5" s="13" t="n">
        <f aca="false">F5/'KPI Summary'!$B$10</f>
        <v>0.32934415455393</v>
      </c>
      <c r="H5" s="15" t="n">
        <f aca="false">IFERROR(F5/C5,0)</f>
        <v>652.969696969697</v>
      </c>
    </row>
    <row r="6" customFormat="false" ht="15" hidden="false" customHeight="false" outlineLevel="0" collapsed="false">
      <c r="A6" s="0" t="s">
        <v>29</v>
      </c>
      <c r="B6" s="0" t="n">
        <f aca="false">COUNTIF('Raw Data'!$F$2:$F$121,A6)</f>
        <v>33</v>
      </c>
      <c r="C6" s="0" t="n">
        <f aca="false">COUNTIFS('Raw Data'!$F$2:$F$121,A6,'Raw Data'!$G$2:$G$121,"Completed")</f>
        <v>25</v>
      </c>
      <c r="D6" s="0" t="n">
        <f aca="false">COUNTIFS('Raw Data'!$F$2:$F$121,A6,'Raw Data'!$G$2:$G$121,"Cancelled")</f>
        <v>8</v>
      </c>
      <c r="E6" s="13" t="n">
        <f aca="false">D6/B6</f>
        <v>0.242424242424242</v>
      </c>
      <c r="F6" s="4" t="n">
        <f aca="false">SUMIFS('Raw Data'!$E$2:$E$121,'Raw Data'!$F$2:$F$121,A6,'Raw Data'!$G$2:$G$121,"Completed")</f>
        <v>17454</v>
      </c>
      <c r="G6" s="13" t="n">
        <f aca="false">F6/'KPI Summary'!$B$10</f>
        <v>0.26677059929387</v>
      </c>
      <c r="H6" s="15" t="n">
        <f aca="false">IFERROR(F6/C6,0)</f>
        <v>698.16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9" t="s">
        <v>222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A2" s="10" t="s">
        <v>223</v>
      </c>
      <c r="B2" s="10"/>
      <c r="C2" s="10"/>
      <c r="D2" s="10"/>
      <c r="E2" s="10"/>
      <c r="F2" s="10"/>
      <c r="G2" s="10"/>
    </row>
    <row r="4" customFormat="false" ht="15" hidden="false" customHeight="false" outlineLevel="0" collapsed="false">
      <c r="A4" s="1" t="s">
        <v>11</v>
      </c>
      <c r="B4" s="1" t="s">
        <v>224</v>
      </c>
      <c r="C4" s="1" t="s">
        <v>225</v>
      </c>
      <c r="D4" s="1" t="s">
        <v>182</v>
      </c>
      <c r="E4" s="1" t="s">
        <v>226</v>
      </c>
      <c r="F4" s="1" t="s">
        <v>227</v>
      </c>
    </row>
    <row r="5" customFormat="false" ht="15" hidden="false" customHeight="false" outlineLevel="0" collapsed="false">
      <c r="A5" s="0" t="s">
        <v>228</v>
      </c>
      <c r="B5" s="0" t="n">
        <f aca="false">COUNTIFS('Raw Data'!$L$2:$L$121,A5,'Raw Data'!$G$2:$G$121,"Completed")</f>
        <v>32</v>
      </c>
      <c r="C5" s="13" t="n">
        <f aca="false">B5/'KPI Summary'!$B$6</f>
        <v>0.333333333333333</v>
      </c>
      <c r="D5" s="4" t="n">
        <f aca="false">SUMIFS('Raw Data'!$E$2:$E$121,'Raw Data'!$L$2:$L$121,A5,'Raw Data'!$G$2:$G$121,"Completed")</f>
        <v>11185</v>
      </c>
      <c r="E5" s="13" t="n">
        <f aca="false">D5/'KPI Summary'!$B$10</f>
        <v>0.170953887538784</v>
      </c>
      <c r="F5" s="15" t="n">
        <f aca="false">IFERROR(D5/B5,0)</f>
        <v>349.53125</v>
      </c>
    </row>
    <row r="6" customFormat="false" ht="15" hidden="false" customHeight="false" outlineLevel="0" collapsed="false">
      <c r="A6" s="0" t="s">
        <v>229</v>
      </c>
      <c r="B6" s="0" t="n">
        <f aca="false">COUNTIFS('Raw Data'!$L$2:$L$121,A6,'Raw Data'!$G$2:$G$121,"Completed")</f>
        <v>32</v>
      </c>
      <c r="C6" s="13" t="n">
        <f aca="false">B6/'KPI Summary'!$B$6</f>
        <v>0.333333333333333</v>
      </c>
      <c r="D6" s="4" t="n">
        <f aca="false">SUMIFS('Raw Data'!$E$2:$E$121,'Raw Data'!$L$2:$L$121,A6,'Raw Data'!$G$2:$G$121,"Completed")</f>
        <v>21582</v>
      </c>
      <c r="E6" s="13" t="n">
        <f aca="false">D6/'KPI Summary'!$B$10</f>
        <v>0.329863817689945</v>
      </c>
      <c r="F6" s="15" t="n">
        <f aca="false">IFERROR(D6/B6,0)</f>
        <v>674.4375</v>
      </c>
    </row>
    <row r="7" customFormat="false" ht="15" hidden="false" customHeight="false" outlineLevel="0" collapsed="false">
      <c r="A7" s="0" t="s">
        <v>230</v>
      </c>
      <c r="B7" s="0" t="n">
        <f aca="false">COUNTIFS('Raw Data'!$L$2:$L$121,A7,'Raw Data'!$G$2:$G$121,"Completed")</f>
        <v>32</v>
      </c>
      <c r="C7" s="13" t="n">
        <f aca="false">B7/'KPI Summary'!$B$6</f>
        <v>0.333333333333333</v>
      </c>
      <c r="D7" s="4" t="n">
        <f aca="false">SUMIFS('Raw Data'!$E$2:$E$121,'Raw Data'!$L$2:$L$121,A7,'Raw Data'!$G$2:$G$121,"Completed")</f>
        <v>32660</v>
      </c>
      <c r="E7" s="13" t="n">
        <f aca="false">D7/'KPI Summary'!$B$10</f>
        <v>0.499182294771272</v>
      </c>
      <c r="F7" s="15" t="n">
        <f aca="false">IFERROR(D7/B7,0)</f>
        <v>1020.625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4" min="3" style="0" width="4"/>
  </cols>
  <sheetData>
    <row r="1" customFormat="false" ht="17.35" hidden="false" customHeight="false" outlineLevel="0" collapsed="false">
      <c r="A1" s="9" t="s">
        <v>231</v>
      </c>
      <c r="B1" s="9"/>
      <c r="C1" s="9"/>
      <c r="D1" s="9"/>
    </row>
    <row r="2" customFormat="false" ht="15" hidden="false" customHeight="false" outlineLevel="0" collapsed="false">
      <c r="A2" s="10" t="s">
        <v>232</v>
      </c>
      <c r="B2" s="10"/>
      <c r="C2" s="10"/>
      <c r="D2" s="10"/>
    </row>
    <row r="4" customFormat="false" ht="15" hidden="false" customHeight="false" outlineLevel="0" collapsed="false">
      <c r="A4" s="7" t="s">
        <v>233</v>
      </c>
    </row>
    <row r="5" customFormat="false" ht="15" hidden="false" customHeight="false" outlineLevel="0" collapsed="false">
      <c r="A5" s="11" t="s">
        <v>234</v>
      </c>
      <c r="B5" s="13" t="n">
        <f aca="false">'KPI Summary'!B9</f>
        <v>0.2</v>
      </c>
    </row>
    <row r="6" customFormat="false" ht="15" hidden="false" customHeight="false" outlineLevel="0" collapsed="false">
      <c r="A6" s="11" t="s">
        <v>235</v>
      </c>
      <c r="B6" s="16" t="n">
        <v>0.15</v>
      </c>
    </row>
    <row r="7" customFormat="false" ht="15" hidden="false" customHeight="false" outlineLevel="0" collapsed="false">
      <c r="A7" s="11" t="s">
        <v>236</v>
      </c>
      <c r="B7" s="15" t="n">
        <f aca="false">'KPI Summary'!B10/'KPI Summary'!B6</f>
        <v>681.53125</v>
      </c>
    </row>
    <row r="8" customFormat="false" ht="15" hidden="false" customHeight="false" outlineLevel="0" collapsed="false">
      <c r="A8" s="11" t="s">
        <v>237</v>
      </c>
      <c r="B8" s="16" t="n">
        <v>0.05</v>
      </c>
    </row>
    <row r="10" customFormat="false" ht="15" hidden="false" customHeight="false" outlineLevel="0" collapsed="false">
      <c r="A10" s="7" t="s">
        <v>238</v>
      </c>
    </row>
    <row r="11" customFormat="false" ht="15" hidden="false" customHeight="false" outlineLevel="0" collapsed="false">
      <c r="A11" s="11" t="s">
        <v>239</v>
      </c>
      <c r="B11" s="12" t="n">
        <f aca="false">'KPI Summary'!B5</f>
        <v>120</v>
      </c>
    </row>
    <row r="12" customFormat="false" ht="15" hidden="false" customHeight="false" outlineLevel="0" collapsed="false">
      <c r="A12" s="11" t="s">
        <v>240</v>
      </c>
      <c r="B12" s="12" t="n">
        <f aca="false">ROUND(B11*(B5-B6),0)</f>
        <v>6</v>
      </c>
    </row>
    <row r="13" customFormat="false" ht="15" hidden="false" customHeight="false" outlineLevel="0" collapsed="false">
      <c r="A13" s="11" t="s">
        <v>241</v>
      </c>
      <c r="B13" s="4" t="n">
        <f aca="false">B12*B7</f>
        <v>4089.1875</v>
      </c>
    </row>
    <row r="14" customFormat="false" ht="15" hidden="false" customHeight="false" outlineLevel="0" collapsed="false">
      <c r="A14" s="11" t="s">
        <v>242</v>
      </c>
      <c r="B14" s="4" t="n">
        <f aca="false">'KPI Summary'!B10*B8</f>
        <v>3271.35</v>
      </c>
    </row>
    <row r="15" customFormat="false" ht="15" hidden="false" customHeight="false" outlineLevel="0" collapsed="false">
      <c r="A15" s="11" t="s">
        <v>243</v>
      </c>
      <c r="B15" s="4" t="n">
        <f aca="false">B13+B14</f>
        <v>7360.5375</v>
      </c>
    </row>
    <row r="16" customFormat="false" ht="15" hidden="false" customHeight="false" outlineLevel="0" collapsed="false">
      <c r="A16" s="11" t="s">
        <v>244</v>
      </c>
      <c r="B16" s="13" t="n">
        <f aca="false">B15/'KPI Summary'!B10</f>
        <v>0.1125</v>
      </c>
    </row>
    <row r="19" customFormat="false" ht="32.8" hidden="false" customHeight="true" outlineLevel="0" collapsed="false">
      <c r="A19" s="6" t="s">
        <v>245</v>
      </c>
      <c r="B19" s="6"/>
      <c r="C19" s="6"/>
      <c r="D19" s="6"/>
    </row>
  </sheetData>
  <mergeCells count="3">
    <mergeCell ref="A1:D1"/>
    <mergeCell ref="A2:D2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9" t="s">
        <v>246</v>
      </c>
      <c r="B1" s="9"/>
      <c r="C1" s="9"/>
    </row>
    <row r="2" customFormat="false" ht="15" hidden="false" customHeight="false" outlineLevel="0" collapsed="false">
      <c r="A2" s="10" t="s">
        <v>247</v>
      </c>
      <c r="B2" s="10"/>
      <c r="C2" s="10"/>
    </row>
    <row r="4" customFormat="false" ht="15" hidden="false" customHeight="false" outlineLevel="0" collapsed="false">
      <c r="A4" s="1" t="s">
        <v>248</v>
      </c>
      <c r="B4" s="1" t="s">
        <v>249</v>
      </c>
    </row>
    <row r="5" customFormat="false" ht="30" hidden="false" customHeight="true" outlineLevel="0" collapsed="false">
      <c r="A5" s="11" t="s">
        <v>173</v>
      </c>
      <c r="B5" s="17" t="s">
        <v>250</v>
      </c>
    </row>
    <row r="6" customFormat="false" ht="30" hidden="false" customHeight="true" outlineLevel="0" collapsed="false">
      <c r="A6" s="11" t="s">
        <v>167</v>
      </c>
      <c r="B6" s="17" t="s">
        <v>251</v>
      </c>
    </row>
    <row r="7" customFormat="false" ht="30" hidden="false" customHeight="true" outlineLevel="0" collapsed="false">
      <c r="A7" s="11" t="s">
        <v>169</v>
      </c>
      <c r="B7" s="17" t="s">
        <v>252</v>
      </c>
    </row>
    <row r="8" customFormat="false" ht="30" hidden="false" customHeight="true" outlineLevel="0" collapsed="false">
      <c r="A8" s="11" t="s">
        <v>165</v>
      </c>
      <c r="B8" s="17" t="s">
        <v>253</v>
      </c>
    </row>
    <row r="9" customFormat="false" ht="30" hidden="false" customHeight="true" outlineLevel="0" collapsed="false">
      <c r="A9" s="11" t="s">
        <v>171</v>
      </c>
      <c r="B9" s="17" t="s">
        <v>254</v>
      </c>
    </row>
    <row r="10" customFormat="false" ht="30" hidden="false" customHeight="true" outlineLevel="0" collapsed="false">
      <c r="A10" s="11" t="s">
        <v>172</v>
      </c>
      <c r="B10" s="17" t="s">
        <v>255</v>
      </c>
    </row>
    <row r="11" customFormat="false" ht="30" hidden="false" customHeight="true" outlineLevel="0" collapsed="false">
      <c r="A11" s="11" t="s">
        <v>256</v>
      </c>
      <c r="B11" s="17" t="s">
        <v>257</v>
      </c>
    </row>
    <row r="12" customFormat="false" ht="30" hidden="false" customHeight="true" outlineLevel="0" collapsed="false">
      <c r="A12" s="11" t="s">
        <v>258</v>
      </c>
      <c r="B12" s="17" t="s">
        <v>259</v>
      </c>
    </row>
    <row r="13" customFormat="false" ht="30" hidden="false" customHeight="true" outlineLevel="0" collapsed="false">
      <c r="A13" s="11" t="s">
        <v>178</v>
      </c>
      <c r="B13" s="17" t="s">
        <v>260</v>
      </c>
    </row>
    <row r="14" customFormat="false" ht="30" hidden="false" customHeight="true" outlineLevel="0" collapsed="false">
      <c r="A14" s="11" t="s">
        <v>176</v>
      </c>
      <c r="B14" s="17" t="s">
        <v>261</v>
      </c>
    </row>
    <row r="15" customFormat="false" ht="30" hidden="false" customHeight="true" outlineLevel="0" collapsed="false">
      <c r="A15" s="11" t="s">
        <v>262</v>
      </c>
      <c r="B15" s="17" t="s">
        <v>263</v>
      </c>
    </row>
    <row r="16" customFormat="false" ht="30" hidden="false" customHeight="true" outlineLevel="0" collapsed="false">
      <c r="A16" s="11" t="s">
        <v>264</v>
      </c>
      <c r="B16" s="17" t="s">
        <v>265</v>
      </c>
    </row>
    <row r="17" customFormat="false" ht="30" hidden="false" customHeight="true" outlineLevel="0" collapsed="false">
      <c r="A17" s="11" t="s">
        <v>266</v>
      </c>
      <c r="B17" s="17" t="s">
        <v>267</v>
      </c>
    </row>
    <row r="18" customFormat="false" ht="30" hidden="false" customHeight="true" outlineLevel="0" collapsed="false">
      <c r="A18" s="11" t="s">
        <v>268</v>
      </c>
      <c r="B18" s="17" t="s">
        <v>269</v>
      </c>
    </row>
    <row r="19" customFormat="false" ht="30" hidden="false" customHeight="true" outlineLevel="0" collapsed="false">
      <c r="A19" s="11" t="s">
        <v>270</v>
      </c>
      <c r="B19" s="17" t="s">
        <v>271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2026-09-26T16:00:43Z</dcterms:created>
  <dc:creator>openpyxl</dc:creator>
  <dc:description/>
  <dc:language>en-US</dc:language>
  <cp:lastModifiedBy/>
  <dcterms:modified xsi:type="dcterms:W3CDTF">2026-09-26T16:00:43Z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